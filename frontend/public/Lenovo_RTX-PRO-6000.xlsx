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<sst xmlns="http://schemas.openxmlformats.org/spreadsheetml/2006/main" count="552" uniqueCount="308">
  <si>
    <t xml:space="preserve">Lenovo × NVIDIA RTX PRO 6000 BSE — System Reference</t>
  </si>
  <si>
    <t xml:space="preserve">OEM system options for the Mid-range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</si>
  <si>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</si>
  <si>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</si>
  <si>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</si>
  <si>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</si>
  <si>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</si>
  <si>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6000 BSE</t>
  </si>
  <si>
    <t xml:space="preserve">[I]</t>
  </si>
  <si>
    <t xml:space="preserve">Tier</t>
  </si>
  <si>
    <t xml:space="preserve">Mid-range</t>
  </si>
  <si>
    <t xml:space="preserve">[D]</t>
  </si>
  <si>
    <t xml:space="preserve">System(s)</t>
  </si>
  <si>
    <t xml:space="preserve">SR650a V4</t>
  </si>
  <si>
    <t xml:space="preserve">Host socket / series</t>
  </si>
  <si>
    <t xml:space="preserve">SR650a V4: LGA-4710 (Xeon 6700P / 6500P)</t>
  </si>
  <si>
    <t xml:space="preserve">GPU silicon reference</t>
  </si>
  <si>
    <t xml:space="preserve">NVIDIA_RTX-PRO-6000_Reference.xlsx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</si>
  <si>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</si>
  <si>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</si>
  <si>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</si>
  <si>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</si>
  <si>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</si>
  <si>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</si>
  <si>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Lenovo's 2U dense PCIe GPU server. Four RTX PRO 6000 only with the 450 W slot-capped SKU (CHWT); two at full 600 W. Highest GPU-per-RU in the mid tier, tightest power envelope.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</si>
  <si>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</si>
  <si>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</si>
  <si>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</si>
  <si>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</si>
  <si>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</si>
  <si>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4× RTX PRO 6000 @450 W cap · 2× 3200 W (1+1)</t>
  </si>
  <si>
    <t xml:space="preserve">2× RTX PRO 6000 @600 W · 2× 2700 W (1+1)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</si>
  <si>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</si>
  <si>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</si>
  <si>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</si>
  <si>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</si>
  <si>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</si>
  <si>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</si>
  <si>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</si>
  <si>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</si>
  <si>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</si>
  <si>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</si>
  <si>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</si>
  <si>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</si>
  <si>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</si>
  <si>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</si>
  <si>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</si>
  <si>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</si>
  <si>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</si>
  <si>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</si>
  <si>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</si>
  <si>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</si>
  <si>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</si>
  <si>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</si>
  <si>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</si>
  <si>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SR650a V4  (Lenovo)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</si>
  <si>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</si>
  <si>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</si>
  <si>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</si>
  <si>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</si>
  <si>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</si>
  <si>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</si>
  <si>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Lenovo ThinkSystem SR650a V4 (SR650i V4 = inference configuration)</t>
  </si>
  <si>
    <t xml:space="preserve">L2</t>
  </si>
  <si>
    <t xml:space="preserve">Form factor</t>
  </si>
  <si>
    <t xml:space="preserve">2U, 2-socket rack</t>
  </si>
  <si>
    <t xml:space="preserve">Processor</t>
  </si>
  <si>
    <t xml:space="preserve">CPU</t>
  </si>
  <si>
    <t xml:space="preserve">Two Intel Xeon 6700-series or 6500-series P-core; up to 86 cores, ≤350 W</t>
  </si>
  <si>
    <t xml:space="preserve">L2, L5</t>
  </si>
  <si>
    <t xml:space="preserve">Front GPU options</t>
  </si>
  <si>
    <t xml:space="preserve">Four 400 W double-wide, or two 600 W double-wide, or eight single-wide GPUs</t>
  </si>
  <si>
    <t xml:space="preserve">RTX PRO 6000 BSE</t>
  </si>
  <si>
    <t xml:space="preserve">Slot-capped 450 W SKU (feature CHWT) allows 4× RTX PRO 6000 in SR650a V4</t>
  </si>
  <si>
    <t xml:space="preserve">L3</t>
  </si>
  <si>
    <t xml:space="preserve">Other named GPUs</t>
  </si>
  <si>
    <t xml:space="preserve">NVIDIA H100 NVL (4× DW) with NVLink</t>
  </si>
  <si>
    <t xml:space="preserve">Expansion</t>
  </si>
  <si>
    <t xml:space="preserve">Slots</t>
  </si>
  <si>
    <t xml:space="preserve">Up to 14× PCIe Gen5 + 2× OCP 3.0</t>
  </si>
  <si>
    <t xml:space="preserve">Storage</t>
  </si>
  <si>
    <t xml:space="preserve">Bays</t>
  </si>
  <si>
    <t xml:space="preserve">8× 2.5" hot-swap or up to 8× E3.S 1T</t>
  </si>
  <si>
    <t xml:space="preserve">Power</t>
  </si>
  <si>
    <t xml:space="preserve">PSU options</t>
  </si>
  <si>
    <t xml:space="preserve">800 W / 1300 W / 2000 W / 2700 W / 3200 W depending on configuration</t>
  </si>
  <si>
    <t xml:space="preserve">L5</t>
  </si>
  <si>
    <t xml:space="preserve">Cooling</t>
  </si>
  <si>
    <t xml:space="preserve">Options</t>
  </si>
  <si>
    <t xml:space="preserve">Air; Lenovo Neptune liquid-assist option</t>
  </si>
  <si>
    <t xml:space="preserve">Management</t>
  </si>
  <si>
    <t xml:space="preserve">BMC</t>
  </si>
  <si>
    <t xml:space="preserve">XClarity Controller</t>
  </si>
  <si>
    <t xml:space="preserve">This workbook</t>
  </si>
  <si>
    <t xml:space="preserve">GPU population</t>
  </si>
  <si>
    <t xml:space="preserve">NVIDIA RTX PRO 6000 BSE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</si>
  <si>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</si>
  <si>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</si>
  <si>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</si>
  <si>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</si>
  <si>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</si>
  <si>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</si>
  <si>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</si>
  <si>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</si>
  <si>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ThinkSystem RTX PRO 6000 BSE 96GB PCIe Gen5 Passive (Slot Capped at 450W)</t>
  </si>
  <si>
    <t xml:space="preserve">CHWT</t>
  </si>
  <si>
    <t xml:space="preserve">450 W cap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</si>
  <si>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</si>
  <si>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</si>
  <si>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</si>
  <si>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Front GPUs: 4× 400 W DW, or 2× 600 W DW, or 8× SW</t>
  </si>
  <si>
    <t xml:space="preserve">RTX PRO 6000 BSE slot-capped at 450 W (feature CHWT) enables 4× in SR650a V4 - conflicts with the 400 W/slot statement; confirm</t>
  </si>
  <si>
    <t xml:space="preserve">PSU options 800 / 1300 / 2000 / 2700 / 3200 W depending on configuration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</si>
  <si>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</si>
  <si>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</si>
  <si>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</si>
  <si>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</si>
  <si>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</si>
  <si>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</si>
  <si>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</si>
  <si>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</si>
  <si>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</si>
  <si>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</si>
  <si>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</si>
  <si>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</si>
  <si>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</si>
  <si>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</si>
  <si>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</si>
  <si>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</si>
  <si>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</si>
  <si>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</si>
  <si>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</si>
  <si>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</si>
  <si>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</si>
  <si>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</si>
  <si>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</si>
  <si>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</si>
  <si>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</si>
  <si>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</si>
  <si>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</si>
  <si>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</si>
  <si>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</si>
  <si>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</si>
  <si>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</si>
  <si>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</si>
  <si>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</si>
  <si>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</si>
  <si>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</si>
  <si>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</si>
  <si>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</si>
  <si>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</si>
  <si>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</si>
  <si>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</si>
  <si>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</si>
  <si>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</si>
  <si>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</si>
  <si>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</si>
  <si>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</si>
  <si>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</si>
  <si>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</si>
  <si>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</si>
  <si>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</si>
  <si>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</si>
  <si>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</si>
  <si>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</si>
  <si>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</si>
  <si>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</si>
  <si>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</si>
  <si>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</si>
  <si>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</si>
  <si>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</si>
  <si>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</si>
  <si>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</si>
  <si>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</si>
  <si>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</si>
  <si>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</si>
  <si>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</si>
  <si>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</si>
  <si>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</si>
  <si>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</si>
  <si>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</si>
  <si>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</si>
  <si>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</si>
  <si>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</si>
  <si>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</si>
  <si>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</si>
  <si>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</si>
  <si>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</si>
  <si>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</si>
  <si>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</si>
  <si>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</si>
  <si>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</si>
  <si>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</si>
  <si>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</si>
  <si>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</si>
  <si>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</si>
  <si>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</si>
  <si>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</si>
  <si>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</si>
  <si>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</si>
  <si>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</si>
  <si>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</si>
  <si>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</si>
  <si>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</si>
  <si>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</si>
  <si>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</si>
  <si>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</si>
  <si>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</si>
  <si>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</si>
  <si>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</si>
  <si>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</si>
  <si>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</si>
  <si>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</si>
  <si>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</si>
  <si>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</si>
  <si>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</si>
  <si>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</si>
  <si>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</si>
  <si>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</si>
  <si>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SR650a V4 — socket LGA-4710; series Xeon 6700P / 6500P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</si>
  <si>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</si>
  <si>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</si>
  <si>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</si>
  <si>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</si>
  <si>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</si>
  <si>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</si>
  <si>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</si>
  <si>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</si>
  <si>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</si>
  <si>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</si>
  <si>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</si>
  <si>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</si>
  <si>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</si>
  <si>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</si>
  <si>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</si>
  <si>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</si>
  <si>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</si>
  <si>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</si>
  <si>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</si>
  <si>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</si>
  <si>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</si>
  <si>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</si>
  <si>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</si>
  <si>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</si>
  <si>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</si>
  <si>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</si>
  <si>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</si>
  <si>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</si>
  <si>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</si>
  <si>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</si>
  <si>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</si>
  <si>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</si>
  <si>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</si>
  <si>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</si>
  <si>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</si>
  <si>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</si>
  <si>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</si>
  <si>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</si>
  <si>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</si>
  <si>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Whether a 4× 450 W config runs fully redundant on 1+1 PSUs or requires CPU/GPU power capping</t>
  </si>
  <si>
    <t xml:space="preserve">Scenario A flags this</t>
  </si>
  <si>
    <t xml:space="preserve">Lenovo Capacity Planner in DCSC</t>
  </si>
  <si>
    <t xml:space="preserve">H200 NVL / L4 / RTX PRO 4500 support on SR650a V4</t>
  </si>
  <si>
    <t xml:space="preserve">Lenovo Xeon options in other tiers</t>
  </si>
  <si>
    <t xml:space="preserve">LP2128 GPU table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</si>
  <si>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</si>
  <si>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</si>
  <si>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</si>
  <si>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</si>
  <si>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</si>
  <si>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</si>
  <si>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</si>
  <si>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</si>
  <si>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</si>
  <si>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</si>
  <si>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</si>
  <si>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Lenovo Press LP2128 - ThinkSystem SR650a V4 / SR650i V4 Product Guide</t>
  </si>
  <si>
    <t xml:space="preserve">https://lenovopress.lenovo.com/lp2128-thinksystem-sr650a-v4-server</t>
  </si>
  <si>
    <t xml:space="preserve">Lenovo Press LP2263 - ThinkSystem RTX PRO 6000 BSE GPU Product Guide (13 Aug 2026)</t>
  </si>
  <si>
    <t xml:space="preserve">https://lenovopress.lenovo.com/lp2263-thinksystem-nvidia-rtx-pro-6000-blackwell-server-edition-pcie-gen5-gpu</t>
  </si>
  <si>
    <t xml:space="preserve">ITCreations - SR650a V4 listing (PSU options 800-3200W)</t>
  </si>
  <si>
    <t xml:space="preserve">https://www.itcreations.com/lenovo/lenovo-thinksystem-sr650a-v4-server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</si>
  <si>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</si>
  <si>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</si>
  <si>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</si>
  <si>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</si>
  <si>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</si>
  <si>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Lenovo_RTX-PRO-6000.xlsx</t>
  </si>
  <si>
    <t xml:space="preserve">  oem: Lenovo</t>
  </si>
  <si>
    <t xml:space="preserve">  gpu: RTX-PRO-6000</t>
  </si>
  <si>
    <t xml:space="preserve">  tier: "Mid-range"</t>
  </si>
  <si>
    <t xml:space="preserve">  chassis:</t>
  </si>
  <si>
    <t xml:space="preserve">    - model: "SR650a V4"</t>
  </si>
  <si>
    <t xml:space="preserve">      rack_units: 2</t>
  </si>
  <si>
    <t xml:space="preserve">      cpu_socket: "LGA-4710"</t>
  </si>
  <si>
    <t xml:space="preserve">  power_scenarios:   # inputs only; outputs live in 4_Power_Budget</t>
  </si>
  <si>
    <t xml:space="preserve">    - name: "4× RTX PRO 6000 @450 W cap · 2× 3200 W (1+1)"</t>
  </si>
  <si>
    <t xml:space="preserve">      system: "SR650a V4"</t>
  </si>
  <si>
    <t xml:space="preserve">      gpus: 4</t>
  </si>
  <si>
    <t xml:space="preserve">      gpu_w: 450</t>
  </si>
  <si>
    <t xml:space="preserve">      cpu: {count: 2, tdp_w: 350}</t>
  </si>
  <si>
    <t xml:space="preserve">      psu: {rating_w: 3200, installed: 2, redundant: 1}</t>
  </si>
  <si>
    <t xml:space="preserve">      assumptions_u: {dimm_w: 10, drive_w: 25, nic_w: 25, baseboard_w: 100, fan_pct: 0.08, psu_eff: 0.95}</t>
  </si>
  <si>
    <t xml:space="preserve">    - name: "2× RTX PRO 6000 @600 W · 2× 2700 W (1+1)"</t>
  </si>
  <si>
    <t xml:space="preserve">      gpus: 2</t>
  </si>
  <si>
    <t xml:space="preserve">      gpu_w: 600</t>
  </si>
  <si>
    <t xml:space="preserve">      psu: {rating_w: 2700, installed: 2, redundant: 1}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</si>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</sst>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3160.08</v>
      </c>
      <c r="C18" s="11" t="n">
        <f aca="false">4_Power_Budget!C42</f>
        <v>3200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2512.08</v>
      </c>
      <c r="C19" s="11" t="n">
        <f aca="false">4_Power_Budget!D42</f>
        <v>2700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63</v>
      </c>
    </row>
    <row r="8" customFormat="false" ht="15" hidden="false" customHeight="false" outlineLevel="0" collapsed="false">
      <c r="A8" s="4" t="s">
        <v>13</v>
      </c>
      <c r="B8" s="4" t="s">
        <v>66</v>
      </c>
      <c r="C8" s="4" t="s">
        <v>67</v>
      </c>
      <c r="D8" s="4" t="s">
        <v>68</v>
      </c>
      <c r="E8" s="5" t="s">
        <v>8</v>
      </c>
      <c r="F8" s="4" t="s">
        <v>69</v>
      </c>
    </row>
    <row r="9" customFormat="false" ht="15" hidden="false" customHeight="false" outlineLevel="0" collapsed="false">
      <c r="A9" s="4" t="s">
        <v>13</v>
      </c>
      <c r="B9" s="4" t="s">
        <v>6</v>
      </c>
      <c r="C9" s="4" t="s">
        <v>70</v>
      </c>
      <c r="D9" s="4" t="s">
        <v>71</v>
      </c>
      <c r="E9" s="5" t="s">
        <v>8</v>
      </c>
      <c r="F9" s="4" t="s">
        <v>63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72</v>
      </c>
      <c r="D10" s="4" t="s">
        <v>73</v>
      </c>
      <c r="E10" s="5" t="s">
        <v>8</v>
      </c>
      <c r="F10" s="4" t="s">
        <v>74</v>
      </c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75</v>
      </c>
      <c r="D11" s="4" t="s">
        <v>76</v>
      </c>
      <c r="E11" s="5" t="s">
        <v>8</v>
      </c>
      <c r="F11" s="4" t="s">
        <v>63</v>
      </c>
    </row>
    <row r="12" customFormat="false" ht="15" hidden="false" customHeight="false" outlineLevel="0" collapsed="false">
      <c r="A12" s="4" t="s">
        <v>13</v>
      </c>
      <c r="B12" s="4" t="s">
        <v>77</v>
      </c>
      <c r="C12" s="4" t="s">
        <v>78</v>
      </c>
      <c r="D12" s="4" t="s">
        <v>79</v>
      </c>
      <c r="E12" s="5" t="s">
        <v>8</v>
      </c>
      <c r="F12" s="4" t="s">
        <v>63</v>
      </c>
    </row>
    <row r="13" customFormat="false" ht="15" hidden="false" customHeight="false" outlineLevel="0" collapsed="false">
      <c r="A13" s="4" t="s">
        <v>13</v>
      </c>
      <c r="B13" s="4" t="s">
        <v>80</v>
      </c>
      <c r="C13" s="4" t="s">
        <v>81</v>
      </c>
      <c r="D13" s="4" t="s">
        <v>82</v>
      </c>
      <c r="E13" s="5" t="s">
        <v>8</v>
      </c>
      <c r="F13" s="4" t="s">
        <v>63</v>
      </c>
    </row>
    <row r="14" customFormat="false" ht="15" hidden="false" customHeight="false" outlineLevel="0" collapsed="false">
      <c r="A14" s="4" t="s">
        <v>13</v>
      </c>
      <c r="B14" s="4" t="s">
        <v>83</v>
      </c>
      <c r="C14" s="4" t="s">
        <v>84</v>
      </c>
      <c r="D14" s="4" t="s">
        <v>85</v>
      </c>
      <c r="E14" s="12" t="s">
        <v>42</v>
      </c>
      <c r="F14" s="4" t="s">
        <v>86</v>
      </c>
    </row>
    <row r="15" customFormat="false" ht="15" hidden="false" customHeight="false" outlineLevel="0" collapsed="false">
      <c r="A15" s="4" t="s">
        <v>13</v>
      </c>
      <c r="B15" s="4" t="s">
        <v>87</v>
      </c>
      <c r="C15" s="4" t="s">
        <v>88</v>
      </c>
      <c r="D15" s="4" t="s">
        <v>89</v>
      </c>
      <c r="E15" s="5" t="s">
        <v>8</v>
      </c>
      <c r="F15" s="4" t="s">
        <v>63</v>
      </c>
    </row>
    <row r="16" customFormat="false" ht="15" hidden="false" customHeight="false" outlineLevel="0" collapsed="false">
      <c r="A16" s="4" t="s">
        <v>13</v>
      </c>
      <c r="B16" s="4" t="s">
        <v>90</v>
      </c>
      <c r="C16" s="4" t="s">
        <v>91</v>
      </c>
      <c r="D16" s="4" t="s">
        <v>92</v>
      </c>
      <c r="E16" s="5" t="s">
        <v>8</v>
      </c>
      <c r="F16" s="4" t="s">
        <v>63</v>
      </c>
    </row>
    <row r="17" customFormat="false" ht="23.85" hidden="false" customHeight="false" outlineLevel="0" collapsed="false">
      <c r="A17" s="4" t="s">
        <v>13</v>
      </c>
      <c r="B17" s="4" t="s">
        <v>93</v>
      </c>
      <c r="C17" s="4" t="s">
        <v>94</v>
      </c>
      <c r="D17" s="4" t="s">
        <v>95</v>
      </c>
      <c r="E17" s="6" t="s">
        <v>11</v>
      </c>
      <c r="F1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3" t="s">
        <v>56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4</v>
      </c>
      <c r="H4" s="3" t="s">
        <v>59</v>
      </c>
      <c r="I4" s="3" t="s">
        <v>103</v>
      </c>
    </row>
    <row r="5" customFormat="false" ht="23.85" hidden="false" customHeight="false" outlineLevel="0" collapsed="false">
      <c r="A5" s="4" t="s">
        <v>13</v>
      </c>
      <c r="B5" s="4" t="s">
        <v>6</v>
      </c>
      <c r="C5" s="4" t="s">
        <v>104</v>
      </c>
      <c r="D5" s="4" t="s">
        <v>105</v>
      </c>
      <c r="E5" s="4" t="n">
        <v>4</v>
      </c>
      <c r="F5" s="4" t="s">
        <v>106</v>
      </c>
      <c r="G5" s="5" t="s">
        <v>8</v>
      </c>
      <c r="H5" s="4" t="s">
        <v>74</v>
      </c>
      <c r="I5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3" t="s">
        <v>56</v>
      </c>
      <c r="B4" s="3" t="s">
        <v>109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110</v>
      </c>
      <c r="C5" s="5" t="s">
        <v>8</v>
      </c>
      <c r="D5" s="4" t="s">
        <v>63</v>
      </c>
    </row>
    <row r="6" customFormat="false" ht="15" hidden="false" customHeight="false" outlineLevel="0" collapsed="false">
      <c r="A6" s="4" t="s">
        <v>13</v>
      </c>
      <c r="B6" s="4" t="s">
        <v>111</v>
      </c>
      <c r="C6" s="5" t="s">
        <v>8</v>
      </c>
      <c r="D6" s="4" t="s">
        <v>74</v>
      </c>
    </row>
    <row r="7" customFormat="false" ht="15" hidden="false" customHeight="false" outlineLevel="0" collapsed="false">
      <c r="A7" s="4" t="s">
        <v>13</v>
      </c>
      <c r="B7" s="4" t="s">
        <v>112</v>
      </c>
      <c r="C7" s="12" t="s">
        <v>42</v>
      </c>
      <c r="D7" s="4" t="s">
        <v>86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23.85" hidden="false" customHeight="false" outlineLevel="0" collapsed="false">
      <c r="A4" s="3" t="s">
        <v>115</v>
      </c>
      <c r="B4" s="3" t="s">
        <v>116</v>
      </c>
      <c r="C4" s="3" t="s">
        <v>30</v>
      </c>
      <c r="D4" s="3" t="s">
        <v>31</v>
      </c>
      <c r="E4" s="3" t="s">
        <v>4</v>
      </c>
      <c r="F4" s="3" t="s">
        <v>117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118</v>
      </c>
      <c r="B6" s="4" t="s">
        <v>119</v>
      </c>
      <c r="C6" s="16" t="n">
        <v>4</v>
      </c>
      <c r="D6" s="16" t="n">
        <v>2</v>
      </c>
      <c r="E6" s="5" t="s">
        <v>8</v>
      </c>
      <c r="F6" s="4" t="s">
        <v>120</v>
      </c>
    </row>
    <row r="7" customFormat="false" ht="15" hidden="false" customHeight="false" outlineLevel="0" collapsed="false">
      <c r="A7" s="4" t="s">
        <v>121</v>
      </c>
      <c r="B7" s="4" t="s">
        <v>122</v>
      </c>
      <c r="C7" s="16" t="n">
        <v>450</v>
      </c>
      <c r="D7" s="16" t="n">
        <v>600</v>
      </c>
      <c r="E7" s="5" t="s">
        <v>8</v>
      </c>
      <c r="F7" s="4" t="s">
        <v>123</v>
      </c>
    </row>
    <row r="8" customFormat="false" ht="15" hidden="false" customHeight="false" outlineLevel="0" collapsed="false">
      <c r="A8" s="4" t="s">
        <v>124</v>
      </c>
      <c r="B8" s="4" t="s">
        <v>119</v>
      </c>
      <c r="C8" s="16" t="n">
        <v>2</v>
      </c>
      <c r="D8" s="16" t="n">
        <v>2</v>
      </c>
      <c r="E8" s="5" t="s">
        <v>8</v>
      </c>
      <c r="F8" s="4" t="s">
        <v>125</v>
      </c>
    </row>
    <row r="9" customFormat="false" ht="15" hidden="false" customHeight="false" outlineLevel="0" collapsed="false">
      <c r="A9" s="4" t="s">
        <v>126</v>
      </c>
      <c r="B9" s="4" t="s">
        <v>122</v>
      </c>
      <c r="C9" s="16" t="n">
        <v>350</v>
      </c>
      <c r="D9" s="16" t="n">
        <v>350</v>
      </c>
      <c r="E9" s="13" t="s">
        <v>46</v>
      </c>
      <c r="F9" s="4" t="s">
        <v>127</v>
      </c>
    </row>
    <row r="10" customFormat="false" ht="15" hidden="false" customHeight="false" outlineLevel="0" collapsed="false">
      <c r="A10" s="4" t="s">
        <v>128</v>
      </c>
      <c r="B10" s="4" t="s">
        <v>119</v>
      </c>
      <c r="C10" s="16" t="n">
        <v>16</v>
      </c>
      <c r="D10" s="16" t="n">
        <v>16</v>
      </c>
      <c r="E10" s="13" t="s">
        <v>46</v>
      </c>
      <c r="F10" s="4" t="s">
        <v>129</v>
      </c>
    </row>
    <row r="11" customFormat="false" ht="15" hidden="false" customHeight="false" outlineLevel="0" collapsed="false">
      <c r="A11" s="4" t="s">
        <v>130</v>
      </c>
      <c r="B11" s="4" t="s">
        <v>122</v>
      </c>
      <c r="C11" s="16" t="n">
        <v>10</v>
      </c>
      <c r="D11" s="16" t="n">
        <v>10</v>
      </c>
      <c r="E11" s="13" t="s">
        <v>46</v>
      </c>
      <c r="F11" s="4" t="s">
        <v>131</v>
      </c>
    </row>
    <row r="12" customFormat="false" ht="15" hidden="false" customHeight="false" outlineLevel="0" collapsed="false">
      <c r="A12" s="4" t="s">
        <v>132</v>
      </c>
      <c r="B12" s="4" t="s">
        <v>119</v>
      </c>
      <c r="C12" s="16" t="n">
        <v>4</v>
      </c>
      <c r="D12" s="16" t="n">
        <v>4</v>
      </c>
      <c r="E12" s="13" t="s">
        <v>46</v>
      </c>
      <c r="F12" s="4" t="s">
        <v>133</v>
      </c>
    </row>
    <row r="13" customFormat="false" ht="15" hidden="false" customHeight="false" outlineLevel="0" collapsed="false">
      <c r="A13" s="4" t="s">
        <v>134</v>
      </c>
      <c r="B13" s="4" t="s">
        <v>122</v>
      </c>
      <c r="C13" s="16" t="n">
        <v>25</v>
      </c>
      <c r="D13" s="16" t="n">
        <v>25</v>
      </c>
      <c r="E13" s="13" t="s">
        <v>46</v>
      </c>
      <c r="F13" s="4" t="s">
        <v>135</v>
      </c>
    </row>
    <row r="14" customFormat="false" ht="15" hidden="false" customHeight="false" outlineLevel="0" collapsed="false">
      <c r="A14" s="4" t="s">
        <v>136</v>
      </c>
      <c r="B14" s="4" t="s">
        <v>119</v>
      </c>
      <c r="C14" s="16" t="n">
        <v>2</v>
      </c>
      <c r="D14" s="16" t="n">
        <v>2</v>
      </c>
      <c r="E14" s="5" t="s">
        <v>8</v>
      </c>
      <c r="F14" s="4" t="s">
        <v>125</v>
      </c>
    </row>
    <row r="15" customFormat="false" ht="15" hidden="false" customHeight="false" outlineLevel="0" collapsed="false">
      <c r="A15" s="4" t="s">
        <v>137</v>
      </c>
      <c r="B15" s="4" t="s">
        <v>122</v>
      </c>
      <c r="C15" s="16" t="n">
        <v>8</v>
      </c>
      <c r="D15" s="16" t="n">
        <v>8</v>
      </c>
      <c r="E15" s="13" t="s">
        <v>46</v>
      </c>
      <c r="F15" s="4" t="s">
        <v>138</v>
      </c>
    </row>
    <row r="16" customFormat="false" ht="15" hidden="false" customHeight="false" outlineLevel="0" collapsed="false">
      <c r="A16" s="4" t="s">
        <v>139</v>
      </c>
      <c r="B16" s="4" t="s">
        <v>119</v>
      </c>
      <c r="C16" s="16" t="n">
        <v>2</v>
      </c>
      <c r="D16" s="16" t="n">
        <v>2</v>
      </c>
      <c r="E16" s="13" t="s">
        <v>46</v>
      </c>
      <c r="F16" s="4" t="s">
        <v>140</v>
      </c>
    </row>
    <row r="17" customFormat="false" ht="15" hidden="false" customHeight="false" outlineLevel="0" collapsed="false">
      <c r="A17" s="4" t="s">
        <v>141</v>
      </c>
      <c r="B17" s="4" t="s">
        <v>122</v>
      </c>
      <c r="C17" s="16" t="n">
        <v>25</v>
      </c>
      <c r="D17" s="16" t="n">
        <v>25</v>
      </c>
      <c r="E17" s="13" t="s">
        <v>46</v>
      </c>
      <c r="F17" s="4" t="s">
        <v>142</v>
      </c>
    </row>
    <row r="18" customFormat="false" ht="15" hidden="false" customHeight="false" outlineLevel="0" collapsed="false">
      <c r="A18" s="4" t="s">
        <v>143</v>
      </c>
      <c r="B18" s="4" t="s">
        <v>122</v>
      </c>
      <c r="C18" s="16" t="n">
        <v>100</v>
      </c>
      <c r="D18" s="16" t="n">
        <v>100</v>
      </c>
      <c r="E18" s="13" t="s">
        <v>46</v>
      </c>
      <c r="F18" s="4" t="s">
        <v>144</v>
      </c>
    </row>
    <row r="19" customFormat="false" ht="23.85" hidden="false" customHeight="false" outlineLevel="0" collapsed="false">
      <c r="A19" s="4" t="s">
        <v>145</v>
      </c>
      <c r="B19" s="4" t="s">
        <v>146</v>
      </c>
      <c r="C19" s="17" t="n">
        <v>0.08</v>
      </c>
      <c r="D19" s="17" t="n">
        <v>0.08</v>
      </c>
      <c r="E19" s="13" t="s">
        <v>46</v>
      </c>
      <c r="F19" s="4" t="s">
        <v>138</v>
      </c>
    </row>
    <row r="20" customFormat="false" ht="15" hidden="false" customHeight="false" outlineLevel="0" collapsed="false">
      <c r="A20" s="4" t="s">
        <v>147</v>
      </c>
      <c r="B20" s="4" t="s">
        <v>148</v>
      </c>
      <c r="C20" s="18" t="n">
        <v>0.95</v>
      </c>
      <c r="D20" s="18" t="n">
        <v>0.95</v>
      </c>
      <c r="E20" s="13" t="s">
        <v>46</v>
      </c>
      <c r="F20" s="4" t="s">
        <v>149</v>
      </c>
    </row>
    <row r="21" customFormat="false" ht="15" hidden="false" customHeight="false" outlineLevel="0" collapsed="false">
      <c r="A21" s="4" t="s">
        <v>150</v>
      </c>
      <c r="B21" s="4" t="s">
        <v>122</v>
      </c>
      <c r="C21" s="16" t="n">
        <v>3200</v>
      </c>
      <c r="D21" s="16" t="n">
        <v>2700</v>
      </c>
      <c r="E21" s="12" t="s">
        <v>42</v>
      </c>
      <c r="F21" s="4" t="s">
        <v>125</v>
      </c>
    </row>
    <row r="22" customFormat="false" ht="15" hidden="false" customHeight="false" outlineLevel="0" collapsed="false">
      <c r="A22" s="4" t="s">
        <v>151</v>
      </c>
      <c r="B22" s="4" t="s">
        <v>119</v>
      </c>
      <c r="C22" s="16" t="n">
        <v>2</v>
      </c>
      <c r="D22" s="16" t="n">
        <v>2</v>
      </c>
      <c r="E22" s="13" t="s">
        <v>46</v>
      </c>
      <c r="F22" s="4" t="s">
        <v>152</v>
      </c>
    </row>
    <row r="23" customFormat="false" ht="15" hidden="false" customHeight="false" outlineLevel="0" collapsed="false">
      <c r="A23" s="4" t="s">
        <v>153</v>
      </c>
      <c r="B23" s="4" t="s">
        <v>119</v>
      </c>
      <c r="C23" s="16" t="n">
        <v>1</v>
      </c>
      <c r="D23" s="16" t="n">
        <v>1</v>
      </c>
      <c r="E23" s="13" t="s">
        <v>46</v>
      </c>
      <c r="F23" s="4" t="s">
        <v>154</v>
      </c>
    </row>
    <row r="24" customFormat="false" ht="15" hidden="false" customHeight="false" outlineLevel="0" collapsed="false">
      <c r="A24" s="4" t="s">
        <v>155</v>
      </c>
      <c r="B24" s="4" t="s">
        <v>119</v>
      </c>
      <c r="C24" s="16" t="n">
        <v>0</v>
      </c>
      <c r="D24" s="16" t="n">
        <v>0</v>
      </c>
      <c r="E24" s="5" t="s">
        <v>8</v>
      </c>
      <c r="F24" s="4" t="s">
        <v>156</v>
      </c>
    </row>
    <row r="25" customFormat="false" ht="15" hidden="false" customHeight="false" outlineLevel="0" collapsed="false">
      <c r="A25" s="4" t="s">
        <v>157</v>
      </c>
      <c r="B25" s="4" t="s">
        <v>158</v>
      </c>
      <c r="C25" s="16" t="n">
        <v>30</v>
      </c>
      <c r="D25" s="16" t="n">
        <v>30</v>
      </c>
      <c r="E25" s="13" t="s">
        <v>46</v>
      </c>
      <c r="F25" s="4" t="s">
        <v>159</v>
      </c>
    </row>
    <row r="26" customFormat="false" ht="15" hidden="false" customHeight="false" outlineLevel="0" collapsed="false">
      <c r="A26" s="4" t="s">
        <v>160</v>
      </c>
      <c r="B26" s="4" t="s">
        <v>161</v>
      </c>
      <c r="C26" s="16" t="n">
        <v>2</v>
      </c>
      <c r="D26" s="16" t="n">
        <v>2</v>
      </c>
      <c r="E26" s="5" t="s">
        <v>8</v>
      </c>
      <c r="F26" s="4" t="s">
        <v>125</v>
      </c>
    </row>
    <row r="27" customFormat="false" ht="15" hidden="false" customHeight="false" outlineLevel="0" collapsed="false">
      <c r="A27" s="4" t="s">
        <v>162</v>
      </c>
      <c r="B27" s="4" t="s">
        <v>161</v>
      </c>
      <c r="C27" s="16" t="n">
        <v>38</v>
      </c>
      <c r="D27" s="16" t="n">
        <v>38</v>
      </c>
      <c r="E27" s="13" t="s">
        <v>46</v>
      </c>
      <c r="F27" s="4" t="s">
        <v>163</v>
      </c>
    </row>
    <row r="29" customFormat="false" ht="15" hidden="false" customHeight="false" outlineLevel="0" collapsed="false">
      <c r="A29" s="9" t="s">
        <v>164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165</v>
      </c>
      <c r="B30" s="3" t="s">
        <v>116</v>
      </c>
      <c r="C30" s="3" t="s">
        <v>30</v>
      </c>
      <c r="D30" s="3" t="s">
        <v>31</v>
      </c>
      <c r="E30" s="3" t="s">
        <v>4</v>
      </c>
      <c r="F30" s="3" t="s">
        <v>166</v>
      </c>
    </row>
    <row r="31" customFormat="false" ht="15" hidden="false" customHeight="false" outlineLevel="0" collapsed="false">
      <c r="A31" s="4" t="s">
        <v>167</v>
      </c>
      <c r="B31" s="4" t="s">
        <v>122</v>
      </c>
      <c r="C31" s="11" t="n">
        <f aca="false">C6*C7</f>
        <v>1800</v>
      </c>
      <c r="D31" s="11" t="n">
        <f aca="false">D6*D7</f>
        <v>1200</v>
      </c>
      <c r="E31" s="6" t="s">
        <v>11</v>
      </c>
      <c r="F31" s="4" t="s">
        <v>168</v>
      </c>
    </row>
    <row r="32" customFormat="false" ht="15" hidden="false" customHeight="false" outlineLevel="0" collapsed="false">
      <c r="A32" s="4" t="s">
        <v>169</v>
      </c>
      <c r="B32" s="4" t="s">
        <v>122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170</v>
      </c>
    </row>
    <row r="33" customFormat="false" ht="15" hidden="false" customHeight="false" outlineLevel="0" collapsed="false">
      <c r="A33" s="4" t="s">
        <v>171</v>
      </c>
      <c r="B33" s="4" t="s">
        <v>122</v>
      </c>
      <c r="C33" s="11" t="n">
        <f aca="false">C10*C11</f>
        <v>160</v>
      </c>
      <c r="D33" s="11" t="n">
        <f aca="false">D10*D11</f>
        <v>160</v>
      </c>
      <c r="E33" s="6" t="s">
        <v>11</v>
      </c>
      <c r="F33" s="4" t="s">
        <v>172</v>
      </c>
    </row>
    <row r="34" customFormat="false" ht="15" hidden="false" customHeight="false" outlineLevel="0" collapsed="false">
      <c r="A34" s="4" t="s">
        <v>173</v>
      </c>
      <c r="B34" s="4" t="s">
        <v>122</v>
      </c>
      <c r="C34" s="11" t="n">
        <f aca="false">C12*C13+C14*C15</f>
        <v>116</v>
      </c>
      <c r="D34" s="11" t="n">
        <f aca="false">D12*D13+D14*D15</f>
        <v>116</v>
      </c>
      <c r="E34" s="6" t="s">
        <v>11</v>
      </c>
      <c r="F34" s="4" t="s">
        <v>174</v>
      </c>
    </row>
    <row r="35" customFormat="false" ht="15" hidden="false" customHeight="false" outlineLevel="0" collapsed="false">
      <c r="A35" s="4" t="s">
        <v>175</v>
      </c>
      <c r="B35" s="4" t="s">
        <v>122</v>
      </c>
      <c r="C35" s="11" t="n">
        <f aca="false">C16*C17</f>
        <v>50</v>
      </c>
      <c r="D35" s="11" t="n">
        <f aca="false">D16*D17</f>
        <v>50</v>
      </c>
      <c r="E35" s="6" t="s">
        <v>11</v>
      </c>
      <c r="F35" s="4" t="s">
        <v>176</v>
      </c>
    </row>
    <row r="36" customFormat="false" ht="15" hidden="false" customHeight="false" outlineLevel="0" collapsed="false">
      <c r="A36" s="4" t="s">
        <v>177</v>
      </c>
      <c r="B36" s="4" t="s">
        <v>122</v>
      </c>
      <c r="C36" s="11" t="n">
        <f aca="false">C18</f>
        <v>100</v>
      </c>
      <c r="D36" s="11" t="n">
        <f aca="false">D18</f>
        <v>100</v>
      </c>
      <c r="E36" s="6" t="s">
        <v>11</v>
      </c>
      <c r="F36" s="4" t="s">
        <v>178</v>
      </c>
    </row>
    <row r="37" customFormat="false" ht="15" hidden="false" customHeight="false" outlineLevel="0" collapsed="false">
      <c r="A37" s="4" t="s">
        <v>179</v>
      </c>
      <c r="B37" s="4" t="s">
        <v>122</v>
      </c>
      <c r="C37" s="11" t="n">
        <f aca="false">SUM(C31:C36)</f>
        <v>2926</v>
      </c>
      <c r="D37" s="11" t="n">
        <f aca="false">SUM(D31:D36)</f>
        <v>2326</v>
      </c>
      <c r="E37" s="6" t="s">
        <v>11</v>
      </c>
      <c r="F37" s="4" t="s">
        <v>180</v>
      </c>
    </row>
    <row r="38" customFormat="false" ht="15" hidden="false" customHeight="false" outlineLevel="0" collapsed="false">
      <c r="A38" s="4" t="s">
        <v>181</v>
      </c>
      <c r="B38" s="4" t="s">
        <v>122</v>
      </c>
      <c r="C38" s="11" t="n">
        <f aca="false">C37*C19</f>
        <v>234.08</v>
      </c>
      <c r="D38" s="11" t="n">
        <f aca="false">D37*D19</f>
        <v>186.08</v>
      </c>
      <c r="E38" s="6" t="s">
        <v>11</v>
      </c>
      <c r="F38" s="4" t="s">
        <v>182</v>
      </c>
    </row>
    <row r="39" customFormat="false" ht="15" hidden="false" customHeight="false" outlineLevel="0" collapsed="false">
      <c r="A39" s="4" t="s">
        <v>183</v>
      </c>
      <c r="B39" s="4" t="s">
        <v>122</v>
      </c>
      <c r="C39" s="11" t="n">
        <f aca="false">C37+C38</f>
        <v>3160.08</v>
      </c>
      <c r="D39" s="11" t="n">
        <f aca="false">D37+D38</f>
        <v>2512.08</v>
      </c>
      <c r="E39" s="6" t="s">
        <v>11</v>
      </c>
      <c r="F39" s="4" t="s">
        <v>184</v>
      </c>
    </row>
    <row r="40" customFormat="false" ht="15" hidden="false" customHeight="false" outlineLevel="0" collapsed="false">
      <c r="A40" s="4" t="s">
        <v>185</v>
      </c>
      <c r="B40" s="4" t="s">
        <v>186</v>
      </c>
      <c r="C40" s="19" t="n">
        <f aca="false">C31/C39</f>
        <v>0.569605832763728</v>
      </c>
      <c r="D40" s="19" t="n">
        <f aca="false">D31/D39</f>
        <v>0.477691793254992</v>
      </c>
      <c r="E40" s="6" t="s">
        <v>11</v>
      </c>
      <c r="F40" s="4" t="s">
        <v>187</v>
      </c>
    </row>
    <row r="41" customFormat="false" ht="15" hidden="false" customHeight="false" outlineLevel="0" collapsed="false">
      <c r="A41" s="4" t="s">
        <v>188</v>
      </c>
      <c r="B41" s="4" t="s">
        <v>122</v>
      </c>
      <c r="C41" s="11" t="n">
        <f aca="false">C39/C20</f>
        <v>3326.4</v>
      </c>
      <c r="D41" s="11" t="n">
        <f aca="false">D39/D20</f>
        <v>2644.29473684211</v>
      </c>
      <c r="E41" s="6" t="s">
        <v>11</v>
      </c>
      <c r="F41" s="4" t="s">
        <v>189</v>
      </c>
    </row>
    <row r="42" customFormat="false" ht="15" hidden="false" customHeight="false" outlineLevel="0" collapsed="false">
      <c r="A42" s="4" t="s">
        <v>190</v>
      </c>
      <c r="B42" s="4" t="s">
        <v>122</v>
      </c>
      <c r="C42" s="11" t="n">
        <f aca="false">IF(C21=0,"n/a",(C22-C23)*C21)</f>
        <v>3200</v>
      </c>
      <c r="D42" s="11" t="n">
        <f aca="false">IF(D21=0,"n/a",(D22-D23)*D21)</f>
        <v>2700</v>
      </c>
      <c r="E42" s="6" t="s">
        <v>11</v>
      </c>
      <c r="F42" s="4" t="s">
        <v>191</v>
      </c>
    </row>
    <row r="43" customFormat="false" ht="15" hidden="false" customHeight="false" outlineLevel="0" collapsed="false">
      <c r="A43" s="4" t="s">
        <v>192</v>
      </c>
      <c r="B43" s="4" t="s">
        <v>122</v>
      </c>
      <c r="C43" s="11" t="n">
        <f aca="false">IF(ISNUMBER(C42),C42-C39,"n/a")</f>
        <v>39.9200000000001</v>
      </c>
      <c r="D43" s="11" t="n">
        <f aca="false">IF(ISNUMBER(D42),D42-D39,"n/a")</f>
        <v>187.92</v>
      </c>
      <c r="E43" s="6" t="s">
        <v>11</v>
      </c>
      <c r="F43" s="4" t="s">
        <v>193</v>
      </c>
    </row>
    <row r="44" customFormat="false" ht="15" hidden="false" customHeight="false" outlineLevel="0" collapsed="false">
      <c r="A44" s="4" t="s">
        <v>194</v>
      </c>
      <c r="B44" s="4" t="s">
        <v>186</v>
      </c>
      <c r="C44" s="19" t="n">
        <f aca="false">IF(ISNUMBER(C42),C39/C42,"n/a")</f>
        <v>0.987525</v>
      </c>
      <c r="D44" s="19" t="n">
        <f aca="false">IF(ISNUMBER(D42),D39/D42,"n/a")</f>
        <v>0.9304</v>
      </c>
      <c r="E44" s="6" t="s">
        <v>11</v>
      </c>
      <c r="F44" s="4" t="s">
        <v>195</v>
      </c>
    </row>
    <row r="45" customFormat="false" ht="15" hidden="false" customHeight="false" outlineLevel="0" collapsed="false">
      <c r="A45" s="4" t="s">
        <v>196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197</v>
      </c>
      <c r="B46" s="4" t="s">
        <v>122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198</v>
      </c>
    </row>
    <row r="47" customFormat="false" ht="15" hidden="false" customHeight="false" outlineLevel="0" collapsed="false">
      <c r="A47" s="4" t="s">
        <v>199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200</v>
      </c>
    </row>
    <row r="48" customFormat="false" ht="15" hidden="false" customHeight="false" outlineLevel="0" collapsed="false">
      <c r="A48" s="4" t="s">
        <v>201</v>
      </c>
      <c r="B48" s="4" t="s">
        <v>202</v>
      </c>
      <c r="C48" s="11" t="n">
        <f aca="false">C41*3.412</f>
        <v>11349.6768</v>
      </c>
      <c r="D48" s="11" t="n">
        <f aca="false">D41*3.412</f>
        <v>9022.33364210527</v>
      </c>
      <c r="E48" s="6" t="s">
        <v>11</v>
      </c>
      <c r="F48" s="4" t="s">
        <v>203</v>
      </c>
    </row>
    <row r="49" customFormat="false" ht="15" hidden="false" customHeight="false" outlineLevel="0" collapsed="false">
      <c r="A49" s="4" t="s">
        <v>204</v>
      </c>
      <c r="B49" s="4" t="s">
        <v>158</v>
      </c>
      <c r="C49" s="21" t="n">
        <f aca="false">C41/C6/1000</f>
        <v>0.8316</v>
      </c>
      <c r="D49" s="21" t="n">
        <f aca="false">D41/D6/1000</f>
        <v>1.32214736842105</v>
      </c>
      <c r="E49" s="6" t="s">
        <v>11</v>
      </c>
      <c r="F49" s="4" t="s">
        <v>205</v>
      </c>
    </row>
    <row r="50" customFormat="false" ht="15" hidden="false" customHeight="false" outlineLevel="0" collapsed="false">
      <c r="A50" s="4" t="s">
        <v>206</v>
      </c>
      <c r="B50" s="4" t="s">
        <v>119</v>
      </c>
      <c r="C50" s="22" t="n">
        <f aca="false">INT(C25*1000/C41)</f>
        <v>9</v>
      </c>
      <c r="D50" s="22" t="n">
        <f aca="false">INT(D25*1000/D41)</f>
        <v>11</v>
      </c>
      <c r="E50" s="6" t="s">
        <v>11</v>
      </c>
      <c r="F50" s="4" t="s">
        <v>207</v>
      </c>
    </row>
    <row r="51" customFormat="false" ht="15" hidden="false" customHeight="false" outlineLevel="0" collapsed="false">
      <c r="A51" s="4" t="s">
        <v>208</v>
      </c>
      <c r="B51" s="4" t="s">
        <v>119</v>
      </c>
      <c r="C51" s="22" t="n">
        <f aca="false">INT(C27/C26)</f>
        <v>19</v>
      </c>
      <c r="D51" s="22" t="n">
        <f aca="false">INT(D27/D26)</f>
        <v>19</v>
      </c>
      <c r="E51" s="6" t="s">
        <v>11</v>
      </c>
      <c r="F51" s="4" t="s">
        <v>209</v>
      </c>
    </row>
    <row r="52" customFormat="false" ht="15" hidden="false" customHeight="false" outlineLevel="0" collapsed="false">
      <c r="A52" s="4" t="s">
        <v>210</v>
      </c>
      <c r="B52" s="4" t="s">
        <v>119</v>
      </c>
      <c r="C52" s="22" t="n">
        <f aca="false">MIN(C50,C51)</f>
        <v>9</v>
      </c>
      <c r="D52" s="22" t="n">
        <f aca="false">MIN(D50,D51)</f>
        <v>11</v>
      </c>
      <c r="E52" s="6" t="s">
        <v>11</v>
      </c>
      <c r="F52" s="4" t="s">
        <v>211</v>
      </c>
    </row>
    <row r="53" customFormat="false" ht="15" hidden="false" customHeight="false" outlineLevel="0" collapsed="false">
      <c r="A53" s="4" t="s">
        <v>212</v>
      </c>
      <c r="B53" s="4" t="s">
        <v>119</v>
      </c>
      <c r="C53" s="22" t="n">
        <f aca="false">C52*C6</f>
        <v>36</v>
      </c>
      <c r="D53" s="22" t="n">
        <f aca="false">D52*D6</f>
        <v>22</v>
      </c>
      <c r="E53" s="6" t="s">
        <v>11</v>
      </c>
      <c r="F53" s="4" t="s">
        <v>213</v>
      </c>
    </row>
    <row r="54" customFormat="false" ht="15" hidden="false" customHeight="false" outlineLevel="0" collapsed="false">
      <c r="A54" s="4" t="s">
        <v>214</v>
      </c>
      <c r="B54" s="4" t="s">
        <v>158</v>
      </c>
      <c r="C54" s="23" t="n">
        <f aca="false">C52*C41/1000</f>
        <v>29.9376</v>
      </c>
      <c r="D54" s="23" t="n">
        <f aca="false">D52*D41/1000</f>
        <v>29.0872421052632</v>
      </c>
      <c r="E54" s="6" t="s">
        <v>11</v>
      </c>
      <c r="F54" s="4" t="s">
        <v>215</v>
      </c>
    </row>
    <row r="56" customFormat="false" ht="39" hidden="false" customHeight="true" outlineLevel="0" collapsed="false">
      <c r="A56" s="24" t="s">
        <v>216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9" t="s">
        <v>219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220</v>
      </c>
      <c r="C5" s="3" t="s">
        <v>221</v>
      </c>
      <c r="D5" s="3" t="s">
        <v>9</v>
      </c>
      <c r="E5" s="3" t="s">
        <v>222</v>
      </c>
      <c r="F5" s="3" t="s">
        <v>223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224</v>
      </c>
      <c r="C6" s="4" t="s">
        <v>225</v>
      </c>
      <c r="D6" s="4" t="s">
        <v>226</v>
      </c>
      <c r="E6" s="4" t="s">
        <v>227</v>
      </c>
      <c r="F6" s="4" t="s">
        <v>228</v>
      </c>
      <c r="G6" s="4" t="s">
        <v>229</v>
      </c>
      <c r="H6" s="13" t="s">
        <v>46</v>
      </c>
    </row>
    <row r="7" customFormat="false" ht="15" hidden="false" customHeight="false" outlineLevel="0" collapsed="false">
      <c r="A7" s="4" t="s">
        <v>13</v>
      </c>
      <c r="B7" s="4" t="s">
        <v>230</v>
      </c>
      <c r="C7" s="4" t="s">
        <v>225</v>
      </c>
      <c r="D7" s="4" t="s">
        <v>226</v>
      </c>
      <c r="E7" s="4" t="s">
        <v>231</v>
      </c>
      <c r="F7" s="4" t="s">
        <v>232</v>
      </c>
      <c r="G7" s="4" t="s">
        <v>229</v>
      </c>
      <c r="H7" s="13" t="s">
        <v>46</v>
      </c>
    </row>
    <row r="8" customFormat="false" ht="15" hidden="false" customHeight="false" outlineLevel="0" collapsed="false">
      <c r="A8" s="4" t="s">
        <v>13</v>
      </c>
      <c r="B8" s="4" t="s">
        <v>233</v>
      </c>
      <c r="C8" s="4" t="s">
        <v>225</v>
      </c>
      <c r="D8" s="4" t="s">
        <v>234</v>
      </c>
      <c r="E8" s="4" t="s">
        <v>235</v>
      </c>
      <c r="F8" s="4" t="s">
        <v>236</v>
      </c>
      <c r="G8" s="4" t="s">
        <v>237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238</v>
      </c>
      <c r="C9" s="4" t="s">
        <v>225</v>
      </c>
      <c r="D9" s="4" t="s">
        <v>234</v>
      </c>
      <c r="E9" s="4" t="s">
        <v>239</v>
      </c>
      <c r="F9" s="4" t="s">
        <v>240</v>
      </c>
      <c r="G9" s="4" t="s">
        <v>229</v>
      </c>
      <c r="H9" s="13" t="s">
        <v>46</v>
      </c>
    </row>
    <row r="10" customFormat="false" ht="15" hidden="false" customHeight="false" outlineLevel="0" collapsed="false">
      <c r="A10" s="4" t="s">
        <v>13</v>
      </c>
      <c r="B10" s="4" t="s">
        <v>241</v>
      </c>
      <c r="C10" s="4" t="s">
        <v>225</v>
      </c>
      <c r="D10" s="4" t="s">
        <v>242</v>
      </c>
      <c r="E10" s="4" t="s">
        <v>243</v>
      </c>
      <c r="F10" s="4" t="s">
        <v>236</v>
      </c>
      <c r="G10" s="4" t="s">
        <v>237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244</v>
      </c>
      <c r="C11" s="4" t="s">
        <v>225</v>
      </c>
      <c r="D11" s="4" t="s">
        <v>242</v>
      </c>
      <c r="E11" s="4" t="s">
        <v>245</v>
      </c>
      <c r="F11" s="4" t="s">
        <v>240</v>
      </c>
      <c r="G11" s="4" t="s">
        <v>229</v>
      </c>
      <c r="H11" s="13" t="s">
        <v>46</v>
      </c>
    </row>
    <row r="12" customFormat="false" ht="15" hidden="false" customHeight="false" outlineLevel="0" collapsed="false">
      <c r="A12" s="4" t="s">
        <v>13</v>
      </c>
      <c r="B12" s="4" t="s">
        <v>246</v>
      </c>
      <c r="C12" s="4" t="s">
        <v>247</v>
      </c>
      <c r="D12" s="4" t="s">
        <v>226</v>
      </c>
      <c r="E12" s="4" t="s">
        <v>227</v>
      </c>
      <c r="F12" s="4" t="s">
        <v>228</v>
      </c>
      <c r="G12" s="4" t="s">
        <v>229</v>
      </c>
      <c r="H12" s="13" t="s">
        <v>46</v>
      </c>
    </row>
    <row r="13" customFormat="false" ht="15" hidden="false" customHeight="false" outlineLevel="0" collapsed="false">
      <c r="A13" s="4" t="s">
        <v>13</v>
      </c>
      <c r="B13" s="4" t="s">
        <v>248</v>
      </c>
      <c r="C13" s="4" t="s">
        <v>247</v>
      </c>
      <c r="D13" s="4" t="s">
        <v>226</v>
      </c>
      <c r="E13" s="4" t="s">
        <v>231</v>
      </c>
      <c r="F13" s="4" t="s">
        <v>232</v>
      </c>
      <c r="G13" s="4" t="s">
        <v>229</v>
      </c>
      <c r="H13" s="13" t="s">
        <v>46</v>
      </c>
    </row>
    <row r="14" customFormat="false" ht="15" hidden="false" customHeight="false" outlineLevel="0" collapsed="false">
      <c r="A14" s="4" t="s">
        <v>13</v>
      </c>
      <c r="B14" s="4" t="s">
        <v>249</v>
      </c>
      <c r="C14" s="4" t="s">
        <v>247</v>
      </c>
      <c r="D14" s="4" t="s">
        <v>234</v>
      </c>
      <c r="E14" s="4" t="s">
        <v>235</v>
      </c>
      <c r="F14" s="4" t="s">
        <v>236</v>
      </c>
      <c r="G14" s="4" t="s">
        <v>237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250</v>
      </c>
      <c r="C15" s="4" t="s">
        <v>247</v>
      </c>
      <c r="D15" s="4" t="s">
        <v>234</v>
      </c>
      <c r="E15" s="4" t="s">
        <v>239</v>
      </c>
      <c r="F15" s="4" t="s">
        <v>240</v>
      </c>
      <c r="G15" s="4" t="s">
        <v>229</v>
      </c>
      <c r="H15" s="13" t="s">
        <v>46</v>
      </c>
    </row>
    <row r="16" customFormat="false" ht="15" hidden="false" customHeight="false" outlineLevel="0" collapsed="false">
      <c r="A16" s="4" t="s">
        <v>13</v>
      </c>
      <c r="B16" s="4" t="s">
        <v>251</v>
      </c>
      <c r="C16" s="4" t="s">
        <v>247</v>
      </c>
      <c r="D16" s="4" t="s">
        <v>242</v>
      </c>
      <c r="E16" s="4" t="s">
        <v>243</v>
      </c>
      <c r="F16" s="4" t="s">
        <v>236</v>
      </c>
      <c r="G16" s="4" t="s">
        <v>237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252</v>
      </c>
      <c r="C17" s="4" t="s">
        <v>247</v>
      </c>
      <c r="D17" s="4" t="s">
        <v>242</v>
      </c>
      <c r="E17" s="4" t="s">
        <v>245</v>
      </c>
      <c r="F17" s="4" t="s">
        <v>240</v>
      </c>
      <c r="G17" s="4" t="s">
        <v>229</v>
      </c>
      <c r="H17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15" hidden="false" customHeight="false" outlineLevel="0" collapsed="false">
      <c r="A4" s="3" t="s">
        <v>255</v>
      </c>
      <c r="B4" s="3" t="s">
        <v>256</v>
      </c>
      <c r="C4" s="3" t="s">
        <v>257</v>
      </c>
      <c r="D4" s="3" t="s">
        <v>258</v>
      </c>
    </row>
    <row r="5" customFormat="false" ht="23.85" hidden="false" customHeight="false" outlineLevel="0" collapsed="false">
      <c r="A5" s="4" t="n">
        <v>1</v>
      </c>
      <c r="B5" s="4" t="s">
        <v>259</v>
      </c>
      <c r="C5" s="4" t="s">
        <v>260</v>
      </c>
      <c r="D5" s="4" t="s">
        <v>261</v>
      </c>
    </row>
    <row r="6" customFormat="false" ht="15" hidden="false" customHeight="false" outlineLevel="0" collapsed="false">
      <c r="A6" s="4" t="n">
        <v>2</v>
      </c>
      <c r="B6" s="4" t="s">
        <v>262</v>
      </c>
      <c r="C6" s="4" t="s">
        <v>263</v>
      </c>
      <c r="D6" s="4" t="s">
        <v>264</v>
      </c>
    </row>
    <row r="7" customFormat="false" ht="35.05" hidden="false" customHeight="false" outlineLevel="0" collapsed="false">
      <c r="A7" s="4" t="n">
        <v>3</v>
      </c>
      <c r="B7" s="4" t="s">
        <v>265</v>
      </c>
      <c r="C7" s="4" t="s">
        <v>266</v>
      </c>
      <c r="D7" s="4" t="s">
        <v>267</v>
      </c>
    </row>
    <row r="8" customFormat="false" ht="23.85" hidden="false" customHeight="false" outlineLevel="0" collapsed="false">
      <c r="A8" s="4" t="n">
        <v>4</v>
      </c>
      <c r="B8" s="4" t="s">
        <v>268</v>
      </c>
      <c r="C8" s="4" t="s">
        <v>269</v>
      </c>
      <c r="D8" s="4" t="s">
        <v>270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4" customFormat="false" ht="15" hidden="false" customHeight="false" outlineLevel="0" collapsed="false">
      <c r="A4" s="3" t="s">
        <v>273</v>
      </c>
      <c r="B4" s="3" t="s">
        <v>5</v>
      </c>
      <c r="C4" s="3" t="s">
        <v>274</v>
      </c>
      <c r="D4" s="3" t="s">
        <v>275</v>
      </c>
    </row>
    <row r="5" customFormat="false" ht="15" hidden="false" customHeight="false" outlineLevel="0" collapsed="false">
      <c r="A5" s="4" t="s">
        <v>63</v>
      </c>
      <c r="B5" s="4" t="s">
        <v>276</v>
      </c>
      <c r="C5" s="4" t="s">
        <v>277</v>
      </c>
      <c r="D5" s="5" t="s">
        <v>8</v>
      </c>
    </row>
    <row r="6" customFormat="false" ht="23.85" hidden="false" customHeight="false" outlineLevel="0" collapsed="false">
      <c r="A6" s="4" t="s">
        <v>74</v>
      </c>
      <c r="B6" s="4" t="s">
        <v>278</v>
      </c>
      <c r="C6" s="4" t="s">
        <v>279</v>
      </c>
      <c r="D6" s="5" t="s">
        <v>8</v>
      </c>
    </row>
    <row r="7" customFormat="false" ht="15" hidden="false" customHeight="false" outlineLevel="0" collapsed="false">
      <c r="A7" s="4" t="s">
        <v>86</v>
      </c>
      <c r="B7" s="4" t="s">
        <v>280</v>
      </c>
      <c r="C7" s="4" t="s">
        <v>281</v>
      </c>
      <c r="D7" s="12" t="s">
        <v>42</v>
      </c>
    </row>
    <row r="8" customFormat="false" ht="23.85" hidden="false" customHeight="false" outlineLevel="0" collapsed="false">
      <c r="A8" s="4" t="s">
        <v>20</v>
      </c>
      <c r="B8" s="4" t="s">
        <v>282</v>
      </c>
      <c r="C8" s="4" t="s">
        <v>283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25" t="s">
        <v>286</v>
      </c>
    </row>
    <row r="5" customFormat="false" ht="15" hidden="false" customHeight="false" outlineLevel="0" collapsed="false">
      <c r="A5" s="25" t="s">
        <v>287</v>
      </c>
    </row>
    <row r="6" customFormat="false" ht="15" hidden="false" customHeight="false" outlineLevel="0" collapsed="false">
      <c r="A6" s="25" t="s">
        <v>288</v>
      </c>
    </row>
    <row r="7" customFormat="false" ht="15" hidden="false" customHeight="false" outlineLevel="0" collapsed="false">
      <c r="A7" s="25" t="s">
        <v>289</v>
      </c>
    </row>
    <row r="8" customFormat="false" ht="15" hidden="false" customHeight="false" outlineLevel="0" collapsed="false">
      <c r="A8" s="25" t="s">
        <v>290</v>
      </c>
    </row>
    <row r="9" customFormat="false" ht="15" hidden="false" customHeight="false" outlineLevel="0" collapsed="false">
      <c r="A9" s="25" t="s">
        <v>291</v>
      </c>
    </row>
    <row r="10" customFormat="false" ht="15" hidden="false" customHeight="false" outlineLevel="0" collapsed="false">
      <c r="A10" s="25" t="s">
        <v>292</v>
      </c>
    </row>
    <row r="11" customFormat="false" ht="15" hidden="false" customHeight="false" outlineLevel="0" collapsed="false">
      <c r="A11" s="25" t="s">
        <v>293</v>
      </c>
    </row>
    <row r="12" customFormat="false" ht="15" hidden="false" customHeight="false" outlineLevel="0" collapsed="false">
      <c r="A12" s="25" t="s">
        <v>294</v>
      </c>
    </row>
    <row r="13" customFormat="false" ht="15" hidden="false" customHeight="false" outlineLevel="0" collapsed="false">
      <c r="A13" s="25" t="s">
        <v>295</v>
      </c>
    </row>
    <row r="14" customFormat="false" ht="15" hidden="false" customHeight="false" outlineLevel="0" collapsed="false">
      <c r="A14" s="25" t="s">
        <v>296</v>
      </c>
    </row>
    <row r="15" customFormat="false" ht="15" hidden="false" customHeight="false" outlineLevel="0" collapsed="false">
      <c r="A15" s="25" t="s">
        <v>297</v>
      </c>
    </row>
    <row r="16" customFormat="false" ht="15" hidden="false" customHeight="false" outlineLevel="0" collapsed="false">
      <c r="A16" s="25" t="s">
        <v>298</v>
      </c>
    </row>
    <row r="17" customFormat="false" ht="15" hidden="false" customHeight="false" outlineLevel="0" collapsed="false">
      <c r="A17" s="25" t="s">
        <v>299</v>
      </c>
    </row>
    <row r="18" customFormat="false" ht="15" hidden="false" customHeight="false" outlineLevel="0" collapsed="false">
      <c r="A18" s="25" t="s">
        <v>300</v>
      </c>
    </row>
    <row r="19" customFormat="false" ht="15" hidden="false" customHeight="false" outlineLevel="0" collapsed="false">
      <c r="A19" s="25" t="s">
        <v>301</v>
      </c>
    </row>
    <row r="20" customFormat="false" ht="15" hidden="false" customHeight="false" outlineLevel="0" collapsed="false">
      <c r="A20" s="25" t="s">
        <v>302</v>
      </c>
    </row>
    <row r="21" customFormat="false" ht="15" hidden="false" customHeight="false" outlineLevel="0" collapsed="false">
      <c r="A21" s="25" t="s">
        <v>303</v>
      </c>
    </row>
    <row r="22" customFormat="false" ht="15" hidden="false" customHeight="false" outlineLevel="0" collapsed="false">
      <c r="A22" s="25" t="s">
        <v>297</v>
      </c>
    </row>
    <row r="23" customFormat="false" ht="15" hidden="false" customHeight="false" outlineLevel="0" collapsed="false">
      <c r="A23" s="25" t="s">
        <v>304</v>
      </c>
    </row>
    <row r="24" customFormat="false" ht="15" hidden="false" customHeight="false" outlineLevel="0" collapsed="false">
      <c r="A24" s="25" t="s">
        <v>305</v>
      </c>
    </row>
    <row r="25" customFormat="false" ht="15" hidden="false" customHeight="false" outlineLevel="0" collapsed="false">
      <c r="A25" s="25" t="s">
        <v>300</v>
      </c>
    </row>
    <row r="26" customFormat="false" ht="15" hidden="false" customHeight="false" outlineLevel="0" collapsed="false">
      <c r="A26" s="25" t="s">
        <v>306</v>
      </c>
    </row>
    <row r="27" customFormat="false" ht="15" hidden="false" customHeight="false" outlineLevel="0" collapsed="false">
      <c r="A27" s="25" t="s">
        <v>302</v>
      </c>
    </row>
    <row r="28" customFormat="false" ht="15" hidden="false" customHeight="false" outlineLevel="0" collapsed="false">
      <c r="A28" s="25" t="s">
        <v>307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