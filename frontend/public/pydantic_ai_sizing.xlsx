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izing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<sst xmlns="http://schemas.openxmlformats.org/spreadsheetml/2006/main" count="172" uniqueCount="130">
  <si>
    <t xml:space="preserve">Pydantic AI (Agent App Tier) Sizing Sheet</t>
  </si>
  <si>
    <t xml:space="preserve">Edit the yellow input cells; concurrency, worker fleet, vCPU/RAM and node count update automatically. This sizes the I/O-bound agent ORCHESTRATION tier (Xeon-class). LLM inference (Gaudi/GPU) and the model endpoint's rate limits are sized separately and govern real throughput.</t>
  </si>
  <si>
    <t xml:space="preserve">1  ·  INPUTS</t>
  </si>
  <si>
    <t xml:space="preserve">Parameter</t>
  </si>
  <si>
    <t xml:space="preserve">Value</t>
  </si>
  <si>
    <t xml:space="preserve">Unit</t>
  </si>
  <si>
    <t xml:space="preserve">Basis / Notes</t>
  </si>
  <si>
    <t xml:space="preserve">Peak agent runs / sec</t>
  </si>
  <si>
    <t xml:space="preserve">runs/s</t>
  </si>
  <si>
    <t xml:space="preserve">Peak rate of new agent runs (agent.run) started per second across the fleet.</t>
  </si>
  <si>
    <t xml:space="preserve">Steps per run (LLM calls)</t>
  </si>
  <si>
    <t xml:space="preserve">steps</t>
  </si>
  <si>
    <t xml:space="preserve">Model round-trips per run (initial + tool-response continuations). Drives wall-time and token demand.</t>
  </si>
  <si>
    <t xml:space="preserve">Avg LLM latency per step</t>
  </si>
  <si>
    <t xml:space="preserve">s</t>
  </si>
  <si>
    <t xml:space="preserve">Wall-clock per model call (TTFT + generation). Dominates run time; comes from your inference tier / provider.</t>
  </si>
  <si>
    <t xml:space="preserve">Tool calls per run</t>
  </si>
  <si>
    <t xml:space="preserve">calls</t>
  </si>
  <si>
    <t xml:space="preserve">External tool / MCP invocations per run.</t>
  </si>
  <si>
    <t xml:space="preserve">Avg tool latency per call</t>
  </si>
  <si>
    <t xml:space="preserve">Wall-clock per tool call (DB, API, MCP, retrieval).</t>
  </si>
  <si>
    <t xml:space="preserve">Local CPU work per step</t>
  </si>
  <si>
    <t xml:space="preserve">ms</t>
  </si>
  <si>
    <t xml:space="preserve">Active CPU per step: schema validation, (de)serialization, prompt assembly. Small vs I/O wait.</t>
  </si>
  <si>
    <t xml:space="preserve">RAM per in-flight run</t>
  </si>
  <si>
    <t xml:space="preserve">MB</t>
  </si>
  <si>
    <t xml:space="preserve">Resident memory per active run: message history, context, tool state, httpx buffers. Grows with context length.</t>
  </si>
  <si>
    <t xml:space="preserve">Retry / overhead factor</t>
  </si>
  <si>
    <t xml:space="preserve">x</t>
  </si>
  <si>
    <t xml:space="preserve">Transient API failures, backoff re-runs, validation re-asks. Inflates wall-time and load.</t>
  </si>
  <si>
    <t xml:space="preserve">Max concurrent runs per worker</t>
  </si>
  <si>
    <t xml:space="preserve">runs</t>
  </si>
  <si>
    <t xml:space="preserve">Practical coroutine/connection ceiling per worker process (httpx pool, fds, mem). Event loop holds many idle awaits cheaply.</t>
  </si>
  <si>
    <t xml:space="preserve">Worker processes per node</t>
  </si>
  <si>
    <t xml:space="preserve">procs</t>
  </si>
  <si>
    <t xml:space="preserve">Async worker processes per node (~1 per physical core; each is a single-threaded event loop).</t>
  </si>
  <si>
    <t xml:space="preserve">Usable vCPU per node</t>
  </si>
  <si>
    <t xml:space="preserve">cores</t>
  </si>
  <si>
    <t xml:space="preserve">Xeon-class node; leave headroom for OS / sidecars.</t>
  </si>
  <si>
    <t xml:space="preserve">Usable RAM per node</t>
  </si>
  <si>
    <t xml:space="preserve">GB</t>
  </si>
  <si>
    <t xml:space="preserve">Xeon-class node usable RAM.</t>
  </si>
  <si>
    <t xml:space="preserve">CPU utilization target</t>
  </si>
  <si>
    <t xml:space="preserve">%</t>
  </si>
  <si>
    <t xml:space="preserve">Headroom ceiling on active CPU per core.</t>
  </si>
  <si>
    <t xml:space="preserve">Concurrency safety headroom</t>
  </si>
  <si>
    <t xml:space="preserve">Provision above modeled peak concurrency for burst / latency-tail jitter.</t>
  </si>
  <si>
    <t xml:space="preserve">Durable execution backend</t>
  </si>
  <si>
    <t xml:space="preserve">DBOS (Postgres)</t>
  </si>
  <si>
    <t xml:space="preserve">mode</t>
  </si>
  <si>
    <t xml:space="preserve">None / DBOS (Postgres) / Temporal (cluster). Adds a checkpoint store sized in Section 7.</t>
  </si>
  <si>
    <t xml:space="preserve">Checkpoints per run</t>
  </si>
  <si>
    <t xml:space="preserve">writes</t>
  </si>
  <si>
    <t xml:space="preserve">State checkpoints written per run (~ steps + tool boundaries). Drives durability write load.</t>
  </si>
  <si>
    <t xml:space="preserve">Avg checkpoint size</t>
  </si>
  <si>
    <t xml:space="preserve">KB</t>
  </si>
  <si>
    <t xml:space="preserve">Serialized state per checkpoint. Message history grows through a run.</t>
  </si>
  <si>
    <t xml:space="preserve">2  ·  CONCURRENCY  (LITTLE'S LAW)</t>
  </si>
  <si>
    <t xml:space="preserve">Avg run wall-time</t>
  </si>
  <si>
    <t xml:space="preserve">(steps x LLM latency + tool calls x tool latency) x retry factor.</t>
  </si>
  <si>
    <t xml:space="preserve">Active CPU per run</t>
  </si>
  <si>
    <t xml:space="preserve">steps x CPU/step x retry. This is the only non-idle portion of a run.</t>
  </si>
  <si>
    <t xml:space="preserve">I/O wait fraction of a run</t>
  </si>
  <si>
    <t xml:space="preserve">Share of wall-time spent awaiting LLM + tools. Near 1.0 =&gt; concurrency, not CPU, binds the fleet.</t>
  </si>
  <si>
    <t xml:space="preserve">Peak concurrent in-flight runs</t>
  </si>
  <si>
    <t xml:space="preserve">Little's Law: arrival rate x avg run wall-time.</t>
  </si>
  <si>
    <t xml:space="preserve">Provisioned concurrency</t>
  </si>
  <si>
    <t xml:space="preserve">Peak concurrency + safety headroom. This is what the fleet must hold simultaneously.</t>
  </si>
  <si>
    <t xml:space="preserve">3  ·  WORKER FLEET &amp; CPU</t>
  </si>
  <si>
    <t xml:space="preserve">Workers by concurrency</t>
  </si>
  <si>
    <t xml:space="preserve">workers</t>
  </si>
  <si>
    <t xml:space="preserve">Provisioned concurrency / max runs per worker.</t>
  </si>
  <si>
    <t xml:space="preserve">Active CPU-seconds / sec (fleet)</t>
  </si>
  <si>
    <t xml:space="preserve">core-s/s</t>
  </si>
  <si>
    <t xml:space="preserve">Fleet-wide active CPU demand: runs/sec x CPU-seconds/run.</t>
  </si>
  <si>
    <t xml:space="preserve">Cores by active CPU</t>
  </si>
  <si>
    <t xml:space="preserve">Active CPU demand / utilization target. Usually far below the concurrency-driven worker count.</t>
  </si>
  <si>
    <t xml:space="preserve">Required workers (= cores)</t>
  </si>
  <si>
    <t xml:space="preserve">Max of concurrency-bound and CPU-bound. Workers pin ~1:1 to cores.</t>
  </si>
  <si>
    <t xml:space="preserve">4  ·  MEMORY</t>
  </si>
  <si>
    <t xml:space="preserve">RAM for in-flight runs</t>
  </si>
  <si>
    <t xml:space="preserve">Provisioned concurrency x RAM per run.</t>
  </si>
  <si>
    <t xml:space="preserve">Worker runtime overhead</t>
  </si>
  <si>
    <t xml:space="preserve">~250 MB base per worker process (interpreter + libs + pools).</t>
  </si>
  <si>
    <t xml:space="preserve">Total agent-tier RAM</t>
  </si>
  <si>
    <t xml:space="preserve">In-flight run memory + worker overhead.</t>
  </si>
  <si>
    <t xml:space="preserve">5  ·  RECOMMENDED FLEET (NODES / TOTALS)</t>
  </si>
  <si>
    <t xml:space="preserve">Nodes by workers</t>
  </si>
  <si>
    <t xml:space="preserve">nodes</t>
  </si>
  <si>
    <t xml:space="preserve">Required workers / workers per node.</t>
  </si>
  <si>
    <t xml:space="preserve">Nodes by RAM</t>
  </si>
  <si>
    <t xml:space="preserve">Agent-tier RAM / usable node RAM.</t>
  </si>
  <si>
    <t xml:space="preserve">Nodes by vCPU</t>
  </si>
  <si>
    <t xml:space="preserve">Cores by active CPU / usable node vCPU.</t>
  </si>
  <si>
    <t xml:space="preserve">Recommended nodes</t>
  </si>
  <si>
    <t xml:space="preserve">Max of worker-, RAM- and CPU-bound counts, floored at 2 for HA.</t>
  </si>
  <si>
    <t xml:space="preserve">Recommended fleet vCPU</t>
  </si>
  <si>
    <t xml:space="preserve">Nodes x usable vCPU per node (provisioned).</t>
  </si>
  <si>
    <t xml:space="preserve">Recommended fleet RAM</t>
  </si>
  <si>
    <t xml:space="preserve">Nodes x usable RAM per node (provisioned).</t>
  </si>
  <si>
    <t xml:space="preserve">6  ·  MODEL-TIER DEMAND  (HANDOFF TO INFERENCE SIZING)</t>
  </si>
  <si>
    <t xml:space="preserve">Model requests / sec demanded</t>
  </si>
  <si>
    <t xml:space="preserve">req/s</t>
  </si>
  <si>
    <t xml:space="preserve">runs/sec x steps x retry. The request rate this fleet pushes at your inference endpoint.</t>
  </si>
  <si>
    <t xml:space="preserve">Peak concurrent model calls</t>
  </si>
  <si>
    <t xml:space="preserve">Little's Law on the LLM portion: runs/sec x steps x LLM latency x retry. Size Gaudi/GPU + gateway to absorb this.</t>
  </si>
  <si>
    <t xml:space="preserve">7  ·  DURABILITY STORE  (IF ENABLED)</t>
  </si>
  <si>
    <t xml:space="preserve">Durability enabled</t>
  </si>
  <si>
    <t xml:space="preserve">flag</t>
  </si>
  <si>
    <t xml:space="preserve">0 if backend = None, else 1. Gates the load figures below.</t>
  </si>
  <si>
    <t xml:space="preserve">Checkpoint write rate</t>
  </si>
  <si>
    <t xml:space="preserve">writes/s</t>
  </si>
  <si>
    <t xml:space="preserve">runs/sec x checkpoints/run x retry (gated by backend).</t>
  </si>
  <si>
    <t xml:space="preserve">Checkpoint write throughput</t>
  </si>
  <si>
    <t xml:space="preserve">MB/s</t>
  </si>
  <si>
    <t xml:space="preserve">Write rate x checkpoint size.</t>
  </si>
  <si>
    <t xml:space="preserve">Durability store write IOPS (approx)</t>
  </si>
  <si>
    <t xml:space="preserve">IOPS</t>
  </si>
  <si>
    <t xml:space="preserve">~1 data + 0.5 index write per checkpoint. DBOS -&gt; Postgres (size with pg_oltp_sizing.xlsx); Temporal -&gt; own cluster.</t>
  </si>
  <si>
    <t xml:space="preserve">8  ·  SIZING NOTES &amp; LEVERS</t>
  </si>
  <si>
    <t xml:space="preserve">•  Agent runs are I/O-bound: wall-time is dominated by LLM + tool latency, and each in-flight run idle-awaits most of that time. Concurrency - not CPU - binds the fleet (see the I/O wait fraction).</t>
  </si>
  <si>
    <t xml:space="preserve">•  Fleet size follows Little's Law: concurrent in-flight runs = arrival rate x avg run wall-time. Cutting steps/run or LLM latency shrinks required concurrency 1:1.</t>
  </si>
  <si>
    <t xml:space="preserve">•  A single async worker holds hundreds of concurrent runs cheaply, but each holds an open httpx connection to the model. Pool limits, file descriptors and memory - not CPU - cap per-worker concurrency.</t>
  </si>
  <si>
    <t xml:space="preserve">•  Local CPU (validation, (de)serialization, prompt assembly) is a few ms per step: real but small. The CPU-driven core count stays well below the concurrency-driven worker count for typical agents.</t>
  </si>
  <si>
    <t xml:space="preserve">•  Xeon-class hosts are the right substrate for this tier: cheap cores, high connection density, large RAM for context state. Reserve accelerators for the inference tier.</t>
  </si>
  <si>
    <t xml:space="preserve">•  The model endpoint governs real throughput. The demanded model req/s and peak concurrent calls (Section 6) must fit your inference capacity and provider/gateway rate limits - size those separately, not here.</t>
  </si>
  <si>
    <t xml:space="preserve">•  Memory per run grows with conversation / context length through a run. Long multi-step or large-context agents raise RAM/run and can make memory - not concurrency - the binding constraint.</t>
  </si>
  <si>
    <t xml:space="preserve">•  Durable execution (DBOS / Temporal) adds a checkpoint store on the write path. DBOS checkpoints to Postgres (size with pg_oltp_sizing.xlsx); Temporal needs its own cluster + persistence. Write rate scales with runs x checkpoints.</t>
  </si>
  <si>
    <t xml:space="preserve">•  Provision concurrency headroom for burst / jitter: arrival spikes and latency tails transiently push in-flight runs above the steady-state Little's-Law figure.</t>
  </si>
  <si>
    <t xml:space="preserve">•  VERIFY before external use: the per-worker concurrency ceiling depends on httpx pool config, event-loop headroom and the durability backend. The 250 default is illustrative - confirm with a load test on your build.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</si>
</sst>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#,##0"/>
    <numFmt numFmtId="166" formatCode="0.00"/>
    <numFmt numFmtId="167" formatCode="0%"/>
    <numFmt numFmtId="168" formatCode="#,##0.0"/>
    <numFmt numFmtId="169" formatCode="0.0%"/>
    <numFmt numFmtId="170" formatCode="#,##0.00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FFFFFF"/>
      <name val="Arial"/>
      <family val="0"/>
      <charset val="1"/>
    </font>
    <font>
      <sz val="9"/>
      <color rgb="FFD9D9D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sz val="9"/>
      <color rgb="FF595959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0"/>
      <color rgb="FF006100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F3864"/>
        <bgColor rgb="FF2E5496"/>
      </patternFill>
    </fill>
    <fill>
      <patternFill patternType="solid">
        <fgColor rgb="FF2E5496"/>
        <bgColor rgb="FF44546A"/>
      </patternFill>
    </fill>
    <fill>
      <patternFill patternType="solid">
        <fgColor rgb="FF44546A"/>
        <bgColor rgb="FF595959"/>
      </patternFill>
    </fill>
    <fill>
      <patternFill patternType="solid">
        <fgColor rgb="FFFFF2CC"/>
        <bgColor rgb="FFF2F2F2"/>
      </patternFill>
    </fill>
    <fill>
      <patternFill patternType="solid">
        <fgColor rgb="FFF2F2F2"/>
        <bgColor rgb="FFE2EFDA"/>
      </patternFill>
    </fill>
    <fill>
      <patternFill patternType="solid">
        <fgColor rgb="FFE2EFDA"/>
        <bgColor rgb="FFF2F2F2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1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1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1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2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1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2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6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61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2E5496"/>
      <rgbColor rgb="FF44546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2" min="2" style="0" width="15"/>
    <col collapsed="false" customWidth="true" hidden="false" outlineLevel="0" max="3" min="3" style="0" width="11"/>
    <col collapsed="false" customWidth="true" hidden="false" outlineLevel="0" max="4" min="4" style="0" width="66"/>
  </cols>
  <sheetData>
    <row r="1" customFormat="false" ht="21.75" hidden="false" customHeight="true" outlineLevel="0" collapsed="false">
      <c r="A1" s="1" t="s">
        <v>0</v>
      </c>
      <c r="B1" s="1"/>
      <c r="C1" s="1"/>
      <c r="D1" s="1"/>
    </row>
    <row r="2" customFormat="false" ht="27.75" hidden="false" customHeight="true" outlineLevel="0" collapsed="false">
      <c r="A2" s="2" t="s">
        <v>1</v>
      </c>
      <c r="B2" s="2"/>
      <c r="C2" s="2"/>
      <c r="D2" s="2"/>
    </row>
    <row r="4" customFormat="false" ht="15" hidden="false" customHeight="false" outlineLevel="0" collapsed="false">
      <c r="A4" s="3" t="s">
        <v>2</v>
      </c>
      <c r="B4" s="3"/>
      <c r="C4" s="3"/>
      <c r="D4" s="3"/>
    </row>
    <row r="5" customFormat="false" ht="15" hidden="false" customHeight="false" outlineLevel="0" collapsed="false">
      <c r="A5" s="4" t="s">
        <v>3</v>
      </c>
      <c r="B5" s="4" t="s">
        <v>4</v>
      </c>
      <c r="C5" s="4" t="s">
        <v>5</v>
      </c>
      <c r="D5" s="4" t="s">
        <v>6</v>
      </c>
    </row>
    <row r="6" customFormat="false" ht="15" hidden="false" customHeight="false" outlineLevel="0" collapsed="false">
      <c r="A6" s="5" t="s">
        <v>7</v>
      </c>
      <c r="B6" s="6" t="n">
        <v>50</v>
      </c>
      <c r="C6" s="7" t="s">
        <v>8</v>
      </c>
      <c r="D6" s="7" t="s">
        <v>9</v>
      </c>
    </row>
    <row r="7" customFormat="false" ht="15" hidden="false" customHeight="false" outlineLevel="0" collapsed="false">
      <c r="A7" s="5" t="s">
        <v>10</v>
      </c>
      <c r="B7" s="6" t="n">
        <v>4</v>
      </c>
      <c r="C7" s="7" t="s">
        <v>11</v>
      </c>
      <c r="D7" s="7" t="s">
        <v>12</v>
      </c>
    </row>
    <row r="8" customFormat="false" ht="15" hidden="false" customHeight="false" outlineLevel="0" collapsed="false">
      <c r="A8" s="5" t="s">
        <v>13</v>
      </c>
      <c r="B8" s="8" t="n">
        <v>3</v>
      </c>
      <c r="C8" s="7" t="s">
        <v>14</v>
      </c>
      <c r="D8" s="7" t="s">
        <v>15</v>
      </c>
    </row>
    <row r="9" customFormat="false" ht="15" hidden="false" customHeight="false" outlineLevel="0" collapsed="false">
      <c r="A9" s="5" t="s">
        <v>16</v>
      </c>
      <c r="B9" s="6" t="n">
        <v>3</v>
      </c>
      <c r="C9" s="7" t="s">
        <v>17</v>
      </c>
      <c r="D9" s="7" t="s">
        <v>18</v>
      </c>
    </row>
    <row r="10" customFormat="false" ht="15" hidden="false" customHeight="false" outlineLevel="0" collapsed="false">
      <c r="A10" s="5" t="s">
        <v>19</v>
      </c>
      <c r="B10" s="8" t="n">
        <v>0.4</v>
      </c>
      <c r="C10" s="7" t="s">
        <v>14</v>
      </c>
      <c r="D10" s="7" t="s">
        <v>20</v>
      </c>
    </row>
    <row r="11" customFormat="false" ht="15" hidden="false" customHeight="false" outlineLevel="0" collapsed="false">
      <c r="A11" s="5" t="s">
        <v>21</v>
      </c>
      <c r="B11" s="6" t="n">
        <v>15</v>
      </c>
      <c r="C11" s="7" t="s">
        <v>22</v>
      </c>
      <c r="D11" s="7" t="s">
        <v>23</v>
      </c>
    </row>
    <row r="12" customFormat="false" ht="15" hidden="false" customHeight="false" outlineLevel="0" collapsed="false">
      <c r="A12" s="5" t="s">
        <v>24</v>
      </c>
      <c r="B12" s="6" t="n">
        <v>8</v>
      </c>
      <c r="C12" s="7" t="s">
        <v>25</v>
      </c>
      <c r="D12" s="7" t="s">
        <v>26</v>
      </c>
    </row>
    <row r="13" customFormat="false" ht="15" hidden="false" customHeight="false" outlineLevel="0" collapsed="false">
      <c r="A13" s="5" t="s">
        <v>27</v>
      </c>
      <c r="B13" s="8" t="n">
        <v>1.15</v>
      </c>
      <c r="C13" s="7" t="s">
        <v>28</v>
      </c>
      <c r="D13" s="7" t="s">
        <v>29</v>
      </c>
    </row>
    <row r="14" customFormat="false" ht="15" hidden="false" customHeight="false" outlineLevel="0" collapsed="false">
      <c r="A14" s="5" t="s">
        <v>30</v>
      </c>
      <c r="B14" s="6" t="n">
        <v>250</v>
      </c>
      <c r="C14" s="7" t="s">
        <v>31</v>
      </c>
      <c r="D14" s="7" t="s">
        <v>32</v>
      </c>
    </row>
    <row r="15" customFormat="false" ht="15" hidden="false" customHeight="false" outlineLevel="0" collapsed="false">
      <c r="A15" s="5" t="s">
        <v>33</v>
      </c>
      <c r="B15" s="6" t="n">
        <v>8</v>
      </c>
      <c r="C15" s="7" t="s">
        <v>34</v>
      </c>
      <c r="D15" s="7" t="s">
        <v>35</v>
      </c>
    </row>
    <row r="16" customFormat="false" ht="15" hidden="false" customHeight="false" outlineLevel="0" collapsed="false">
      <c r="A16" s="5" t="s">
        <v>36</v>
      </c>
      <c r="B16" s="6" t="n">
        <v>64</v>
      </c>
      <c r="C16" s="7" t="s">
        <v>37</v>
      </c>
      <c r="D16" s="7" t="s">
        <v>38</v>
      </c>
    </row>
    <row r="17" customFormat="false" ht="15" hidden="false" customHeight="false" outlineLevel="0" collapsed="false">
      <c r="A17" s="5" t="s">
        <v>39</v>
      </c>
      <c r="B17" s="6" t="n">
        <v>128</v>
      </c>
      <c r="C17" s="7" t="s">
        <v>40</v>
      </c>
      <c r="D17" s="7" t="s">
        <v>41</v>
      </c>
    </row>
    <row r="18" customFormat="false" ht="15" hidden="false" customHeight="false" outlineLevel="0" collapsed="false">
      <c r="A18" s="5" t="s">
        <v>42</v>
      </c>
      <c r="B18" s="9" t="n">
        <v>0.7</v>
      </c>
      <c r="C18" s="7" t="s">
        <v>43</v>
      </c>
      <c r="D18" s="7" t="s">
        <v>44</v>
      </c>
    </row>
    <row r="19" customFormat="false" ht="15" hidden="false" customHeight="false" outlineLevel="0" collapsed="false">
      <c r="A19" s="5" t="s">
        <v>45</v>
      </c>
      <c r="B19" s="9" t="n">
        <v>0.3</v>
      </c>
      <c r="C19" s="7" t="s">
        <v>43</v>
      </c>
      <c r="D19" s="7" t="s">
        <v>46</v>
      </c>
    </row>
    <row r="20" customFormat="false" ht="15" hidden="false" customHeight="false" outlineLevel="0" collapsed="false">
      <c r="A20" s="5" t="s">
        <v>47</v>
      </c>
      <c r="B20" s="10" t="s">
        <v>48</v>
      </c>
      <c r="C20" s="7" t="s">
        <v>49</v>
      </c>
      <c r="D20" s="7" t="s">
        <v>50</v>
      </c>
    </row>
    <row r="21" customFormat="false" ht="15" hidden="false" customHeight="false" outlineLevel="0" collapsed="false">
      <c r="A21" s="5" t="s">
        <v>51</v>
      </c>
      <c r="B21" s="6" t="n">
        <v>8</v>
      </c>
      <c r="C21" s="7" t="s">
        <v>52</v>
      </c>
      <c r="D21" s="7" t="s">
        <v>53</v>
      </c>
    </row>
    <row r="22" customFormat="false" ht="15" hidden="false" customHeight="false" outlineLevel="0" collapsed="false">
      <c r="A22" s="5" t="s">
        <v>54</v>
      </c>
      <c r="B22" s="6" t="n">
        <v>12</v>
      </c>
      <c r="C22" s="7" t="s">
        <v>55</v>
      </c>
      <c r="D22" s="7" t="s">
        <v>56</v>
      </c>
    </row>
    <row r="24" customFormat="false" ht="15" hidden="false" customHeight="false" outlineLevel="0" collapsed="false">
      <c r="A24" s="3" t="s">
        <v>57</v>
      </c>
      <c r="B24" s="3"/>
      <c r="C24" s="3"/>
      <c r="D24" s="3"/>
    </row>
    <row r="25" customFormat="false" ht="15" hidden="false" customHeight="false" outlineLevel="0" collapsed="false">
      <c r="A25" s="4" t="s">
        <v>3</v>
      </c>
      <c r="B25" s="4" t="s">
        <v>4</v>
      </c>
      <c r="C25" s="4" t="s">
        <v>5</v>
      </c>
      <c r="D25" s="4" t="s">
        <v>6</v>
      </c>
    </row>
    <row r="26" customFormat="false" ht="15" hidden="false" customHeight="false" outlineLevel="0" collapsed="false">
      <c r="A26" s="5" t="s">
        <v>58</v>
      </c>
      <c r="B26" s="11" t="n">
        <f aca="false">(B7*B8+B9*B10)*B13</f>
        <v>15.18</v>
      </c>
      <c r="C26" s="7" t="s">
        <v>14</v>
      </c>
      <c r="D26" s="7" t="s">
        <v>59</v>
      </c>
    </row>
    <row r="27" customFormat="false" ht="15" hidden="false" customHeight="false" outlineLevel="0" collapsed="false">
      <c r="A27" s="5" t="s">
        <v>60</v>
      </c>
      <c r="B27" s="12" t="n">
        <f aca="false">B7*B11*B13</f>
        <v>69</v>
      </c>
      <c r="C27" s="7" t="s">
        <v>22</v>
      </c>
      <c r="D27" s="7" t="s">
        <v>61</v>
      </c>
    </row>
    <row r="28" customFormat="false" ht="15" hidden="false" customHeight="false" outlineLevel="0" collapsed="false">
      <c r="A28" s="5" t="s">
        <v>62</v>
      </c>
      <c r="B28" s="13" t="n">
        <f aca="false">1-(B27/1000)/B26</f>
        <v>0.995454545454546</v>
      </c>
      <c r="C28" s="7" t="s">
        <v>43</v>
      </c>
      <c r="D28" s="7" t="s">
        <v>63</v>
      </c>
    </row>
    <row r="29" customFormat="false" ht="15" hidden="false" customHeight="false" outlineLevel="0" collapsed="false">
      <c r="A29" s="5" t="s">
        <v>64</v>
      </c>
      <c r="B29" s="12" t="n">
        <f aca="false">B6*B26</f>
        <v>759</v>
      </c>
      <c r="C29" s="7" t="s">
        <v>31</v>
      </c>
      <c r="D29" s="7" t="s">
        <v>65</v>
      </c>
    </row>
    <row r="30" customFormat="false" ht="15" hidden="false" customHeight="false" outlineLevel="0" collapsed="false">
      <c r="A30" s="5" t="s">
        <v>66</v>
      </c>
      <c r="B30" s="14" t="n">
        <f aca="false">B29*(1+B19)</f>
        <v>986.7</v>
      </c>
      <c r="C30" s="7" t="s">
        <v>31</v>
      </c>
      <c r="D30" s="7" t="s">
        <v>67</v>
      </c>
    </row>
    <row r="32" customFormat="false" ht="15" hidden="false" customHeight="false" outlineLevel="0" collapsed="false">
      <c r="A32" s="3" t="s">
        <v>68</v>
      </c>
      <c r="B32" s="3"/>
      <c r="C32" s="3"/>
      <c r="D32" s="3"/>
    </row>
    <row r="33" customFormat="false" ht="15" hidden="false" customHeight="false" outlineLevel="0" collapsed="false">
      <c r="A33" s="4" t="s">
        <v>3</v>
      </c>
      <c r="B33" s="4" t="s">
        <v>4</v>
      </c>
      <c r="C33" s="4" t="s">
        <v>5</v>
      </c>
      <c r="D33" s="4" t="s">
        <v>6</v>
      </c>
    </row>
    <row r="34" customFormat="false" ht="15" hidden="false" customHeight="false" outlineLevel="0" collapsed="false">
      <c r="A34" s="5" t="s">
        <v>69</v>
      </c>
      <c r="B34" s="12" t="n">
        <f aca="false">ROUNDUP(B30/B14,0)</f>
        <v>4</v>
      </c>
      <c r="C34" s="7" t="s">
        <v>70</v>
      </c>
      <c r="D34" s="7" t="s">
        <v>71</v>
      </c>
    </row>
    <row r="35" customFormat="false" ht="15" hidden="false" customHeight="false" outlineLevel="0" collapsed="false">
      <c r="A35" s="5" t="s">
        <v>72</v>
      </c>
      <c r="B35" s="15" t="n">
        <f aca="false">B6*B27/1000</f>
        <v>3.45</v>
      </c>
      <c r="C35" s="7" t="s">
        <v>73</v>
      </c>
      <c r="D35" s="7" t="s">
        <v>74</v>
      </c>
    </row>
    <row r="36" customFormat="false" ht="15" hidden="false" customHeight="false" outlineLevel="0" collapsed="false">
      <c r="A36" s="5" t="s">
        <v>75</v>
      </c>
      <c r="B36" s="12" t="n">
        <f aca="false">ROUNDUP(B35/B18,0)</f>
        <v>5</v>
      </c>
      <c r="C36" s="7" t="s">
        <v>37</v>
      </c>
      <c r="D36" s="7" t="s">
        <v>76</v>
      </c>
    </row>
    <row r="37" customFormat="false" ht="15" hidden="false" customHeight="false" outlineLevel="0" collapsed="false">
      <c r="A37" s="5" t="s">
        <v>77</v>
      </c>
      <c r="B37" s="14" t="n">
        <f aca="false">MAX(B34,B36)</f>
        <v>5</v>
      </c>
      <c r="C37" s="7" t="s">
        <v>70</v>
      </c>
      <c r="D37" s="7" t="s">
        <v>78</v>
      </c>
    </row>
    <row r="39" customFormat="false" ht="15" hidden="false" customHeight="false" outlineLevel="0" collapsed="false">
      <c r="A39" s="3" t="s">
        <v>79</v>
      </c>
      <c r="B39" s="3"/>
      <c r="C39" s="3"/>
      <c r="D39" s="3"/>
    </row>
    <row r="40" customFormat="false" ht="15" hidden="false" customHeight="false" outlineLevel="0" collapsed="false">
      <c r="A40" s="4" t="s">
        <v>3</v>
      </c>
      <c r="B40" s="4" t="s">
        <v>4</v>
      </c>
      <c r="C40" s="4" t="s">
        <v>5</v>
      </c>
      <c r="D40" s="4" t="s">
        <v>6</v>
      </c>
    </row>
    <row r="41" customFormat="false" ht="15" hidden="false" customHeight="false" outlineLevel="0" collapsed="false">
      <c r="A41" s="5" t="s">
        <v>80</v>
      </c>
      <c r="B41" s="11" t="n">
        <f aca="false">B30*B12/1000</f>
        <v>7.8936</v>
      </c>
      <c r="C41" s="7" t="s">
        <v>40</v>
      </c>
      <c r="D41" s="7" t="s">
        <v>81</v>
      </c>
    </row>
    <row r="42" customFormat="false" ht="15" hidden="false" customHeight="false" outlineLevel="0" collapsed="false">
      <c r="A42" s="5" t="s">
        <v>82</v>
      </c>
      <c r="B42" s="11" t="n">
        <f aca="false">B37*0.25</f>
        <v>1.25</v>
      </c>
      <c r="C42" s="7" t="s">
        <v>40</v>
      </c>
      <c r="D42" s="7" t="s">
        <v>83</v>
      </c>
    </row>
    <row r="43" customFormat="false" ht="15" hidden="false" customHeight="false" outlineLevel="0" collapsed="false">
      <c r="A43" s="5" t="s">
        <v>84</v>
      </c>
      <c r="B43" s="16" t="n">
        <f aca="false">B41+B42</f>
        <v>9.1436</v>
      </c>
      <c r="C43" s="7" t="s">
        <v>40</v>
      </c>
      <c r="D43" s="7" t="s">
        <v>85</v>
      </c>
    </row>
    <row r="45" customFormat="false" ht="15" hidden="false" customHeight="false" outlineLevel="0" collapsed="false">
      <c r="A45" s="3" t="s">
        <v>86</v>
      </c>
      <c r="B45" s="3"/>
      <c r="C45" s="3"/>
      <c r="D45" s="3"/>
    </row>
    <row r="46" customFormat="false" ht="15" hidden="false" customHeight="false" outlineLevel="0" collapsed="false">
      <c r="A46" s="4" t="s">
        <v>3</v>
      </c>
      <c r="B46" s="4" t="s">
        <v>4</v>
      </c>
      <c r="C46" s="4" t="s">
        <v>5</v>
      </c>
      <c r="D46" s="4" t="s">
        <v>6</v>
      </c>
    </row>
    <row r="47" customFormat="false" ht="15" hidden="false" customHeight="false" outlineLevel="0" collapsed="false">
      <c r="A47" s="5" t="s">
        <v>87</v>
      </c>
      <c r="B47" s="12" t="n">
        <f aca="false">ROUNDUP(B37/B15,0)</f>
        <v>1</v>
      </c>
      <c r="C47" s="7" t="s">
        <v>88</v>
      </c>
      <c r="D47" s="7" t="s">
        <v>89</v>
      </c>
    </row>
    <row r="48" customFormat="false" ht="15" hidden="false" customHeight="false" outlineLevel="0" collapsed="false">
      <c r="A48" s="5" t="s">
        <v>90</v>
      </c>
      <c r="B48" s="12" t="n">
        <f aca="false">ROUNDUP(B43/B17,0)</f>
        <v>1</v>
      </c>
      <c r="C48" s="7" t="s">
        <v>88</v>
      </c>
      <c r="D48" s="7" t="s">
        <v>91</v>
      </c>
    </row>
    <row r="49" customFormat="false" ht="15" hidden="false" customHeight="false" outlineLevel="0" collapsed="false">
      <c r="A49" s="5" t="s">
        <v>92</v>
      </c>
      <c r="B49" s="12" t="n">
        <f aca="false">ROUNDUP(B36/B16,0)</f>
        <v>1</v>
      </c>
      <c r="C49" s="7" t="s">
        <v>88</v>
      </c>
      <c r="D49" s="7" t="s">
        <v>93</v>
      </c>
    </row>
    <row r="50" customFormat="false" ht="15" hidden="false" customHeight="false" outlineLevel="0" collapsed="false">
      <c r="A50" s="5" t="s">
        <v>94</v>
      </c>
      <c r="B50" s="14" t="n">
        <f aca="false">MAX(B47,B48,B49,2)</f>
        <v>2</v>
      </c>
      <c r="C50" s="7" t="s">
        <v>88</v>
      </c>
      <c r="D50" s="7" t="s">
        <v>95</v>
      </c>
    </row>
    <row r="51" customFormat="false" ht="15" hidden="false" customHeight="false" outlineLevel="0" collapsed="false">
      <c r="A51" s="5" t="s">
        <v>96</v>
      </c>
      <c r="B51" s="14" t="n">
        <f aca="false">B50*B16</f>
        <v>128</v>
      </c>
      <c r="C51" s="7" t="s">
        <v>37</v>
      </c>
      <c r="D51" s="7" t="s">
        <v>97</v>
      </c>
    </row>
    <row r="52" customFormat="false" ht="15" hidden="false" customHeight="false" outlineLevel="0" collapsed="false">
      <c r="A52" s="5" t="s">
        <v>98</v>
      </c>
      <c r="B52" s="14" t="n">
        <f aca="false">B50*B17</f>
        <v>256</v>
      </c>
      <c r="C52" s="7" t="s">
        <v>40</v>
      </c>
      <c r="D52" s="7" t="s">
        <v>99</v>
      </c>
    </row>
    <row r="54" customFormat="false" ht="15" hidden="false" customHeight="false" outlineLevel="0" collapsed="false">
      <c r="A54" s="3" t="s">
        <v>100</v>
      </c>
      <c r="B54" s="3"/>
      <c r="C54" s="3"/>
      <c r="D54" s="3"/>
    </row>
    <row r="55" customFormat="false" ht="15" hidden="false" customHeight="false" outlineLevel="0" collapsed="false">
      <c r="A55" s="4" t="s">
        <v>3</v>
      </c>
      <c r="B55" s="4" t="s">
        <v>4</v>
      </c>
      <c r="C55" s="4" t="s">
        <v>5</v>
      </c>
      <c r="D55" s="4" t="s">
        <v>6</v>
      </c>
    </row>
    <row r="56" customFormat="false" ht="15" hidden="false" customHeight="false" outlineLevel="0" collapsed="false">
      <c r="A56" s="5" t="s">
        <v>101</v>
      </c>
      <c r="B56" s="12" t="n">
        <f aca="false">B6*B7*B13</f>
        <v>230</v>
      </c>
      <c r="C56" s="7" t="s">
        <v>102</v>
      </c>
      <c r="D56" s="7" t="s">
        <v>103</v>
      </c>
    </row>
    <row r="57" customFormat="false" ht="15" hidden="false" customHeight="false" outlineLevel="0" collapsed="false">
      <c r="A57" s="5" t="s">
        <v>104</v>
      </c>
      <c r="B57" s="14" t="n">
        <f aca="false">B6*B7*B8*B13</f>
        <v>690</v>
      </c>
      <c r="C57" s="7" t="s">
        <v>17</v>
      </c>
      <c r="D57" s="7" t="s">
        <v>105</v>
      </c>
    </row>
    <row r="59" customFormat="false" ht="15" hidden="false" customHeight="false" outlineLevel="0" collapsed="false">
      <c r="A59" s="3" t="s">
        <v>106</v>
      </c>
      <c r="B59" s="3"/>
      <c r="C59" s="3"/>
      <c r="D59" s="3"/>
    </row>
    <row r="60" customFormat="false" ht="15" hidden="false" customHeight="false" outlineLevel="0" collapsed="false">
      <c r="A60" s="4" t="s">
        <v>3</v>
      </c>
      <c r="B60" s="4" t="s">
        <v>4</v>
      </c>
      <c r="C60" s="4" t="s">
        <v>5</v>
      </c>
      <c r="D60" s="4" t="s">
        <v>6</v>
      </c>
    </row>
    <row r="61" customFormat="false" ht="15" hidden="false" customHeight="false" outlineLevel="0" collapsed="false">
      <c r="A61" s="5" t="s">
        <v>107</v>
      </c>
      <c r="B61" s="12" t="n">
        <f aca="false">IF(B20="None",0,1)</f>
        <v>1</v>
      </c>
      <c r="C61" s="7" t="s">
        <v>108</v>
      </c>
      <c r="D61" s="7" t="s">
        <v>109</v>
      </c>
    </row>
    <row r="62" customFormat="false" ht="15" hidden="false" customHeight="false" outlineLevel="0" collapsed="false">
      <c r="A62" s="5" t="s">
        <v>110</v>
      </c>
      <c r="B62" s="12" t="n">
        <f aca="false">B6*B21*B13*B61</f>
        <v>460</v>
      </c>
      <c r="C62" s="7" t="s">
        <v>111</v>
      </c>
      <c r="D62" s="7" t="s">
        <v>112</v>
      </c>
    </row>
    <row r="63" customFormat="false" ht="15" hidden="false" customHeight="false" outlineLevel="0" collapsed="false">
      <c r="A63" s="5" t="s">
        <v>113</v>
      </c>
      <c r="B63" s="11" t="n">
        <f aca="false">B62*B22/1000</f>
        <v>5.52</v>
      </c>
      <c r="C63" s="7" t="s">
        <v>114</v>
      </c>
      <c r="D63" s="7" t="s">
        <v>115</v>
      </c>
    </row>
    <row r="64" customFormat="false" ht="15" hidden="false" customHeight="false" outlineLevel="0" collapsed="false">
      <c r="A64" s="5" t="s">
        <v>116</v>
      </c>
      <c r="B64" s="14" t="n">
        <f aca="false">B62*1.5</f>
        <v>690</v>
      </c>
      <c r="C64" s="7" t="s">
        <v>117</v>
      </c>
      <c r="D64" s="7" t="s">
        <v>118</v>
      </c>
    </row>
    <row r="66" customFormat="false" ht="15" hidden="false" customHeight="false" outlineLevel="0" collapsed="false">
      <c r="A66" s="3" t="s">
        <v>119</v>
      </c>
      <c r="B66" s="3"/>
      <c r="C66" s="3"/>
      <c r="D66" s="3"/>
    </row>
    <row r="67" customFormat="false" ht="15" hidden="false" customHeight="false" outlineLevel="0" collapsed="false">
      <c r="A67" s="17" t="s">
        <v>120</v>
      </c>
      <c r="B67" s="17"/>
      <c r="C67" s="17"/>
      <c r="D67" s="17"/>
    </row>
    <row r="68" customFormat="false" ht="15" hidden="false" customHeight="false" outlineLevel="0" collapsed="false">
      <c r="A68" s="17" t="s">
        <v>121</v>
      </c>
      <c r="B68" s="17"/>
      <c r="C68" s="17"/>
      <c r="D68" s="17"/>
    </row>
    <row r="69" customFormat="false" ht="15" hidden="false" customHeight="false" outlineLevel="0" collapsed="false">
      <c r="A69" s="17" t="s">
        <v>122</v>
      </c>
      <c r="B69" s="17"/>
      <c r="C69" s="17"/>
      <c r="D69" s="17"/>
    </row>
    <row r="70" customFormat="false" ht="15" hidden="false" customHeight="false" outlineLevel="0" collapsed="false">
      <c r="A70" s="17" t="s">
        <v>123</v>
      </c>
      <c r="B70" s="17"/>
      <c r="C70" s="17"/>
      <c r="D70" s="17"/>
    </row>
    <row r="71" customFormat="false" ht="15" hidden="false" customHeight="false" outlineLevel="0" collapsed="false">
      <c r="A71" s="17" t="s">
        <v>124</v>
      </c>
      <c r="B71" s="17"/>
      <c r="C71" s="17"/>
      <c r="D71" s="17"/>
    </row>
    <row r="72" customFormat="false" ht="15" hidden="false" customHeight="false" outlineLevel="0" collapsed="false">
      <c r="A72" s="17" t="s">
        <v>125</v>
      </c>
      <c r="B72" s="17"/>
      <c r="C72" s="17"/>
      <c r="D72" s="17"/>
    </row>
    <row r="73" customFormat="false" ht="15" hidden="false" customHeight="false" outlineLevel="0" collapsed="false">
      <c r="A73" s="17" t="s">
        <v>126</v>
      </c>
      <c r="B73" s="17"/>
      <c r="C73" s="17"/>
      <c r="D73" s="17"/>
    </row>
    <row r="74" customFormat="false" ht="15" hidden="false" customHeight="false" outlineLevel="0" collapsed="false">
      <c r="A74" s="17" t="s">
        <v>127</v>
      </c>
      <c r="B74" s="17"/>
      <c r="C74" s="17"/>
      <c r="D74" s="17"/>
    </row>
    <row r="75" customFormat="false" ht="15" hidden="false" customHeight="false" outlineLevel="0" collapsed="false">
      <c r="A75" s="17" t="s">
        <v>128</v>
      </c>
      <c r="B75" s="17"/>
      <c r="C75" s="17"/>
      <c r="D75" s="17"/>
    </row>
    <row r="76" customFormat="false" ht="15" hidden="false" customHeight="false" outlineLevel="0" collapsed="false">
      <c r="A76" s="17" t="s">
        <v>129</v>
      </c>
      <c r="B76" s="17"/>
      <c r="C76" s="17"/>
      <c r="D76" s="17"/>
    </row>
  </sheetData>
  <mergeCells count="20">
    <mergeCell ref="A1:D1"/>
    <mergeCell ref="A2:D2"/>
    <mergeCell ref="A4:D4"/>
    <mergeCell ref="A24:D24"/>
    <mergeCell ref="A32:D32"/>
    <mergeCell ref="A39:D39"/>
    <mergeCell ref="A45:D45"/>
    <mergeCell ref="A54:D54"/>
    <mergeCell ref="A59:D59"/>
    <mergeCell ref="A66:D66"/>
    <mergeCell ref="A67:D67"/>
    <mergeCell ref="A68:D68"/>
    <mergeCell ref="A69:D69"/>
    <mergeCell ref="A70:D70"/>
    <mergeCell ref="A71:D71"/>
    <mergeCell ref="A72:D72"/>
    <mergeCell ref="A73:D73"/>
    <mergeCell ref="A74:D74"/>
    <mergeCell ref="A75:D75"/>
    <mergeCell ref="A76:D7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2026-07-18T05:46:12Z</dcterms:created>
  <dc:creator>openpyxl</dc:creator>
  <dc:description/>
  <dc:language>en-US</dc:language>
  <cp:lastModifiedBy/>
  <dcterms:modified xsi:type="dcterms:W3CDTF">2026-07-18T05:46:12Z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