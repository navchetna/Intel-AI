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<sst xmlns="http://schemas.openxmlformats.org/spreadsheetml/2006/main" count="360" uniqueCount="256">
  <si>
    <t xml:space="preserve">RL / Post-Training Sizing Sheet — Rollout + Train Two-Cluster Model</t>
  </si>
  <si>
    <t xml:space="preserve">Post-training runs TWO workloads: a generation/rollout cluster and a training cluster. Set the amber choices first. Yellow = inputs, green = outputs, ⚠ = verify / order-of-magnitude estimate.</t>
  </si>
  <si>
    <t xml:space="preserve">0  ·  CONFIGURATION — SET THESE FIRST  (these choices drive the whole sheet)</t>
  </si>
  <si>
    <t xml:space="preserve">Parameter</t>
  </si>
  <si>
    <t xml:space="preserve">Value</t>
  </si>
  <si>
    <t xml:space="preserve">Unit</t>
  </si>
  <si>
    <t xml:space="preserve">Basis / Notes</t>
  </si>
  <si>
    <t xml:space="preserve">RL algorithm</t>
  </si>
  <si>
    <t xml:space="preserve">GRPO</t>
  </si>
  <si>
    <t xml:space="preserve">axis</t>
  </si>
  <si>
    <t xml:space="preserve">PPO (actor+critic+ref+reward) · GRPO/RLOO (group sampling, no critic) · DPO (offline pairs, no rollout) · RFT (generate→filter→SFT).</t>
  </si>
  <si>
    <t xml:space="preserve">Deployment</t>
  </si>
  <si>
    <t xml:space="preserve">Disaggregated</t>
  </si>
  <si>
    <t xml:space="preserve">Colocated = one GPU pool time-slices generate+train (weight sync free). Disaggregated = separate pools (sync over network).</t>
  </si>
  <si>
    <t xml:space="preserve">Reward source</t>
  </si>
  <si>
    <t xml:space="preserve">Rule-based</t>
  </si>
  <si>
    <t xml:space="preserve">Rule-based/verifier (math/code, free) · Model-based (RM resident + forward pass) · Hybrid.</t>
  </si>
  <si>
    <t xml:space="preserve">Task type</t>
  </si>
  <si>
    <t xml:space="preserve">Single-turn</t>
  </si>
  <si>
    <t xml:space="preserve">Single-turn = one generation. Agentic = multi-turn with tool calls; adds turns × tool latency to rollout wall-clock.</t>
  </si>
  <si>
    <t xml:space="preserve">Compute precision</t>
  </si>
  <si>
    <t xml:space="preserve">BF16</t>
  </si>
  <si>
    <t xml:space="preserve">Affects tensor-core peak &amp; MFU only.</t>
  </si>
  <si>
    <t xml:space="preserve">Hardware platform</t>
  </si>
  <si>
    <t xml:space="preserve">DGX B300</t>
  </si>
  <si>
    <t xml:space="preserve">Sets NVLink domain / weight-sync bandwidth when colocated.</t>
  </si>
  <si>
    <t xml:space="preserve">1  ·  MODELS IN PLAY  (all resident on the training cluster at once)</t>
  </si>
  <si>
    <t xml:space="preserve">Policy (actor) params</t>
  </si>
  <si>
    <t xml:space="preserve">B</t>
  </si>
  <si>
    <t xml:space="preserve">The model being trained — full weights+grads+optimizer.</t>
  </si>
  <si>
    <t xml:space="preserve">Reference params</t>
  </si>
  <si>
    <t xml:space="preserve">Frozen KL anchor (weights only). Usually = policy. 0 to disable (RFT).</t>
  </si>
  <si>
    <t xml:space="preserve">Reward-model params</t>
  </si>
  <si>
    <t xml:space="preserve">Model-based reward only (weights + forward). Ignored if reward = Rule-based.</t>
  </si>
  <si>
    <t xml:space="preserve">Critic (value) params</t>
  </si>
  <si>
    <t xml:space="preserve">PPO only — trained like the policy. GRPO/RLOO/DPO/RFT drop the critic.</t>
  </si>
  <si>
    <t xml:space="preserve">Optimizer</t>
  </si>
  <si>
    <t xml:space="preserve">AdamW</t>
  </si>
  <si>
    <t xml:space="preserve">AdamW (18 B/param) or Muon (14 B/param). RL usually AdamW.</t>
  </si>
  <si>
    <t xml:space="preserve">Model layers</t>
  </si>
  <si>
    <t xml:space="preserve">layers</t>
  </si>
  <si>
    <t xml:space="preserve">For KV-cache sizing on the rollout cluster.</t>
  </si>
  <si>
    <t xml:space="preserve">Hidden size</t>
  </si>
  <si>
    <t xml:space="preserve">dim</t>
  </si>
  <si>
    <t xml:space="preserve">Model width.</t>
  </si>
  <si>
    <t xml:space="preserve">GQA ratio</t>
  </si>
  <si>
    <t xml:space="preserve">×</t>
  </si>
  <si>
    <t xml:space="preserve">Query heads per KV head. Higher = smaller KV cache.</t>
  </si>
  <si>
    <t xml:space="preserve">2  ·  RL ALGORITHM PARAMETERS</t>
  </si>
  <si>
    <t xml:space="preserve">Prompts per step</t>
  </si>
  <si>
    <t xml:space="preserve">prompts</t>
  </si>
  <si>
    <t xml:space="preserve">Distinct prompts sampled per RL iteration.</t>
  </si>
  <si>
    <t xml:space="preserve">Group size (GRPO/RLOO)</t>
  </si>
  <si>
    <t xml:space="preserve">samples</t>
  </si>
  <si>
    <t xml:space="preserve">Generations per prompt. PPO/DPO = 1.</t>
  </si>
  <si>
    <t xml:space="preserve">Prompt length</t>
  </si>
  <si>
    <t xml:space="preserve">tokens</t>
  </si>
  <si>
    <t xml:space="preserve">Avg prompt/context length (prefill).</t>
  </si>
  <si>
    <t xml:space="preserve">Generation length / turn</t>
  </si>
  <si>
    <t xml:space="preserve">Avg new tokens generated per turn. Reasoning traces are long.</t>
  </si>
  <si>
    <t xml:space="preserve">Turns (agentic)</t>
  </si>
  <si>
    <t xml:space="preserve">turns</t>
  </si>
  <si>
    <t xml:space="preserve">Sequential tool-use turns per trajectory. Single-turn = 1.</t>
  </si>
  <si>
    <t xml:space="preserve">Tool latency / turn</t>
  </si>
  <si>
    <t xml:space="preserve">s</t>
  </si>
  <si>
    <t xml:space="preserve">Agentic only — external tool/env round-trip added to rollout wall-clock.</t>
  </si>
  <si>
    <t xml:space="preserve">PPO / update epochs</t>
  </si>
  <si>
    <t xml:space="preserve">epochs</t>
  </si>
  <si>
    <t xml:space="preserve">Gradient passes over each batch of experience.</t>
  </si>
  <si>
    <t xml:space="preserve">RFT accept rate</t>
  </si>
  <si>
    <t xml:space="preserve">%</t>
  </si>
  <si>
    <t xml:space="preserve">Fraction of generations passing the filter (RFT only).</t>
  </si>
  <si>
    <t xml:space="preserve">Steps to convergence</t>
  </si>
  <si>
    <t xml:space="preserve">steps</t>
  </si>
  <si>
    <t xml:space="preserve">RL iterations for the run (for total-time estimate).</t>
  </si>
  <si>
    <t xml:space="preserve">3  ·  HARDWARE PLATFORM</t>
  </si>
  <si>
    <t xml:space="preserve">NVLink domain size</t>
  </si>
  <si>
    <t xml:space="preserve">GPUs</t>
  </si>
  <si>
    <t xml:space="preserve">GPUs on one NVLink fabric.</t>
  </si>
  <si>
    <t xml:space="preserve">GPUs / node</t>
  </si>
  <si>
    <t xml:space="preserve">DGX B300 = 8× Blackwell Ultra + 2× Xeon 6776P.</t>
  </si>
  <si>
    <t xml:space="preserve">HBM per GPU</t>
  </si>
  <si>
    <t xml:space="preserve">GB</t>
  </si>
  <si>
    <t xml:space="preserve">HBM3e.</t>
  </si>
  <si>
    <t xml:space="preserve">GPU TDP</t>
  </si>
  <si>
    <t xml:space="preserve">W</t>
  </si>
  <si>
    <t xml:space="preserve">~1.4 kW.</t>
  </si>
  <si>
    <t xml:space="preserve">Dense peak — BF16</t>
  </si>
  <si>
    <t xml:space="preserve">PF/GPU</t>
  </si>
  <si>
    <t xml:space="preserve">⚠ Verify vs datasheet.</t>
  </si>
  <si>
    <t xml:space="preserve">Dense peak — FP8</t>
  </si>
  <si>
    <t xml:space="preserve">⚠ Verify.</t>
  </si>
  <si>
    <t xml:space="preserve">Training MFU</t>
  </si>
  <si>
    <t xml:space="preserve">RL training MFU is lower than pretraining (small/variable batches, bubbles).</t>
  </si>
  <si>
    <t xml:space="preserve">Decode throughput / rollout GPU</t>
  </si>
  <si>
    <t xml:space="preserve">tok/s</t>
  </si>
  <si>
    <t xml:space="preserve">⚠ Highly workload-dependent. Aggregate served decode tok/s per GPU for this model. Calibrate on your engine.</t>
  </si>
  <si>
    <t xml:space="preserve">Scale-out BW / GPU</t>
  </si>
  <si>
    <t xml:space="preserve">GB/s</t>
  </si>
  <si>
    <t xml:space="preserve">ConnectX-8. Weight-sync path when disaggregated.</t>
  </si>
  <si>
    <t xml:space="preserve">NVLink BW / GPU</t>
  </si>
  <si>
    <t xml:space="preserve">Weight-sync path when colocated.</t>
  </si>
  <si>
    <t xml:space="preserve">Facility power overhead</t>
  </si>
  <si>
    <t xml:space="preserve">Cooling/host/fabric/PSU multiplier.</t>
  </si>
  <si>
    <t xml:space="preserve">4  ·  ALGORITHM FLAGS  (auto-derived from the selectors)</t>
  </si>
  <si>
    <t xml:space="preserve">Generation active?</t>
  </si>
  <si>
    <t xml:space="preserve">0/1</t>
  </si>
  <si>
    <t xml:space="preserve">DPO trains on offline preference pairs — no rollout cluster.</t>
  </si>
  <si>
    <t xml:space="preserve">Reference active?</t>
  </si>
  <si>
    <t xml:space="preserve">RFT is SFT on filtered samples — no KL reference.</t>
  </si>
  <si>
    <t xml:space="preserve">Critic active?</t>
  </si>
  <si>
    <t xml:space="preserve">Only PPO carries a trained value model.</t>
  </si>
  <si>
    <t xml:space="preserve">Reward model active?</t>
  </si>
  <si>
    <t xml:space="preserve">Model-based/Hybrid reward with online generation.</t>
  </si>
  <si>
    <t xml:space="preserve">Effective group size</t>
  </si>
  <si>
    <t xml:space="preserve">Group sampling for GRPO/RLOO; 1 otherwise.</t>
  </si>
  <si>
    <t xml:space="preserve">5  ·  ROLLOUT / GENERATION CLUSTER</t>
  </si>
  <si>
    <t xml:space="preserve">Generated (decode) tokens / step</t>
  </si>
  <si>
    <t xml:space="preserve">Prompts × group × turns × gen-length. The generation workload.</t>
  </si>
  <si>
    <t xml:space="preserve">Rollout GPUs</t>
  </si>
  <si>
    <t xml:space="preserve">Size this pool to hit your target generation time.</t>
  </si>
  <si>
    <t xml:space="preserve">Rollout tensor-parallel</t>
  </si>
  <si>
    <t xml:space="preserve">way</t>
  </si>
  <si>
    <t xml:space="preserve">TP for the served policy on the rollout side.</t>
  </si>
  <si>
    <t xml:space="preserve">Decode time / step</t>
  </si>
  <si>
    <t xml:space="preserve">Generated tokens / (rollout GPUs × decode throughput).</t>
  </si>
  <si>
    <t xml:space="preserve">Tool-latency time / step</t>
  </si>
  <si>
    <t xml:space="preserve">Sequential turns × tool latency (trajectories run in parallel).</t>
  </si>
  <si>
    <t xml:space="preserve">Rollout time / step</t>
  </si>
  <si>
    <t xml:space="preserve">Decode + tool latency.</t>
  </si>
  <si>
    <t xml:space="preserve">KV bytes / token</t>
  </si>
  <si>
    <t xml:space="preserve">2(K,V) × layers × (hidden/GQA) × 2 bytes.</t>
  </si>
  <si>
    <t xml:space="preserve">Max context / trajectory</t>
  </si>
  <si>
    <t xml:space="preserve">Prompt + all generated tokens.</t>
  </si>
  <si>
    <t xml:space="preserve">KV per sequence</t>
  </si>
  <si>
    <t xml:space="preserve">Peak KV cache for one in-flight trajectory.</t>
  </si>
  <si>
    <t xml:space="preserve">Rollout weight mem / GPU</t>
  </si>
  <si>
    <t xml:space="preserve">bf16 policy weights sharded across rollout TP.</t>
  </si>
  <si>
    <t xml:space="preserve">KV budget / GPU</t>
  </si>
  <si>
    <t xml:space="preserve">HBM left for KV after weights (90% usable).</t>
  </si>
  <si>
    <t xml:space="preserve">Max concurrent trajectories / GPU</t>
  </si>
  <si>
    <t xml:space="preserve">seqs</t>
  </si>
  <si>
    <t xml:space="preserve">Batch depth the rollout pool can hold. Low ⇒ decode underutilized.</t>
  </si>
  <si>
    <t xml:space="preserve">6  ·  TRAINING CLUSTER</t>
  </si>
  <si>
    <t xml:space="preserve">Trained tokens / step</t>
  </si>
  <si>
    <t xml:space="preserve">Tokens the policy updates on (DPO = chosen+rejected; RFT = filtered).</t>
  </si>
  <si>
    <t xml:space="preserve">Policy update FLOPs / step</t>
  </si>
  <si>
    <t xml:space="preserve">FLOP</t>
  </si>
  <si>
    <t xml:space="preserve">6·N·tokens·epochs.</t>
  </si>
  <si>
    <t xml:space="preserve">Reference forward FLOPs</t>
  </si>
  <si>
    <t xml:space="preserve">Forward-only KL logprobs.</t>
  </si>
  <si>
    <t xml:space="preserve">Reward forward FLOPs</t>
  </si>
  <si>
    <t xml:space="preserve">Model-based reward scoring (forward).</t>
  </si>
  <si>
    <t xml:space="preserve">Critic FLOPs</t>
  </si>
  <si>
    <t xml:space="preserve">PPO value-model train.</t>
  </si>
  <si>
    <t xml:space="preserve">Total train FLOPs / step</t>
  </si>
  <si>
    <t xml:space="preserve">Sum of all forward/backward work per step.</t>
  </si>
  <si>
    <t xml:space="preserve">Training GPUs</t>
  </si>
  <si>
    <t xml:space="preserve">Size this pool to consume experience at the generation rate.</t>
  </si>
  <si>
    <t xml:space="preserve">Effective peak / GPU</t>
  </si>
  <si>
    <t xml:space="preserve">PF</t>
  </si>
  <si>
    <t xml:space="preserve">By precision.</t>
  </si>
  <si>
    <t xml:space="preserve">Train throughput / GPU</t>
  </si>
  <si>
    <t xml:space="preserve">Peak × training MFU.</t>
  </si>
  <si>
    <t xml:space="preserve">Train time / step</t>
  </si>
  <si>
    <t xml:space="preserve">Total train FLOPs / (train GPUs × throughput).</t>
  </si>
  <si>
    <t xml:space="preserve">7  ·  CROSS-CLUSTER WEIGHT SYNC</t>
  </si>
  <si>
    <t xml:space="preserve">Policy weight payload</t>
  </si>
  <si>
    <t xml:space="preserve">bf16 policy weights broadcast trainer→rollout.</t>
  </si>
  <si>
    <t xml:space="preserve">Sync every N steps</t>
  </si>
  <si>
    <t xml:space="preserve">On-policy RL syncs every step; more off-policy less often.</t>
  </si>
  <si>
    <t xml:space="preserve">Sync bandwidth</t>
  </si>
  <si>
    <t xml:space="preserve">NVLink if colocated, scale-out if disaggregated.</t>
  </si>
  <si>
    <t xml:space="preserve">Weight-sync time / step</t>
  </si>
  <si>
    <t xml:space="preserve">Amortized per step. Colocated ≈ free.</t>
  </si>
  <si>
    <t xml:space="preserve">8  ·  TRAINING-CLUSTER MEMORY (per GPU)</t>
  </si>
  <si>
    <t xml:space="preserve">Optimizer bytes / param</t>
  </si>
  <si>
    <t xml:space="preserve">AdamW 18 / Muon 14.</t>
  </si>
  <si>
    <t xml:space="preserve">Policy state / GPU</t>
  </si>
  <si>
    <t xml:space="preserve">Full training state, ZeRO/FSDP-sharded across the training pool.</t>
  </si>
  <si>
    <t xml:space="preserve">Reference / GPU</t>
  </si>
  <si>
    <t xml:space="preserve">Frozen bf16 weights.</t>
  </si>
  <si>
    <t xml:space="preserve">Reward model / GPU</t>
  </si>
  <si>
    <t xml:space="preserve">Model-based reward weights (if resident).</t>
  </si>
  <si>
    <t xml:space="preserve">Critic / GPU</t>
  </si>
  <si>
    <t xml:space="preserve">PPO value-model training state.</t>
  </si>
  <si>
    <t xml:space="preserve">Total resident / GPU</t>
  </si>
  <si>
    <t xml:space="preserve">All models on the training cluster at once — RL's memory tax.</t>
  </si>
  <si>
    <t xml:space="preserve">Fits training HBM?</t>
  </si>
  <si>
    <t xml:space="preserve">≤85% to leave room for activations/KV during logprob passes.</t>
  </si>
  <si>
    <t xml:space="preserve">9  ·  THROUGHPUT BALANCE  (rollout ⇄ train — the central RL sizing question)</t>
  </si>
  <si>
    <t xml:space="preserve">RL step time</t>
  </si>
  <si>
    <t xml:space="preserve">Colocated = generate then train (sequential). Disaggregated = pipelined ⇒ max of the two.</t>
  </si>
  <si>
    <t xml:space="preserve">Generation fraction of active time</t>
  </si>
  <si>
    <t xml:space="preserve">RL is famously generation-dominated (often 60–80%+).</t>
  </si>
  <si>
    <t xml:space="preserve">Rollout : train time ratio</t>
  </si>
  <si>
    <t xml:space="preserve">Disaggregated: aim ≈1 so neither pool starves.</t>
  </si>
  <si>
    <t xml:space="preserve">Balance verdict</t>
  </si>
  <si>
    <t xml:space="preserve">How to rebalance the two pools.</t>
  </si>
  <si>
    <t xml:space="preserve">Total GPUs</t>
  </si>
  <si>
    <t xml:space="preserve">Colocated = shared pool (set rollout=train). Disaggregated = sum of pools.</t>
  </si>
  <si>
    <t xml:space="preserve">Total wall-clock</t>
  </si>
  <si>
    <t xml:space="preserve">hours</t>
  </si>
  <si>
    <t xml:space="preserve">Step time × steps to convergence.</t>
  </si>
  <si>
    <t xml:space="preserve">GPU-hours</t>
  </si>
  <si>
    <t xml:space="preserve">Total cost.</t>
  </si>
  <si>
    <t xml:space="preserve">10  ·  STORAGE &amp; CHECKPOINT</t>
  </si>
  <si>
    <t xml:space="preserve">Policy checkpoint size</t>
  </si>
  <si>
    <t xml:space="preserve">TB</t>
  </si>
  <si>
    <t xml:space="preserve">Policy training state. Save less often than pretraining (RL steps are cheap to redo).</t>
  </si>
  <si>
    <t xml:space="preserve">Experience buffer / step</t>
  </si>
  <si>
    <t xml:space="preserve">Tokens + logprobs/advantages (~4 B/token). Held between generate and train.</t>
  </si>
  <si>
    <t xml:space="preserve">Checkpoint interval</t>
  </si>
  <si>
    <t xml:space="preserve">How often to persist the policy.</t>
  </si>
  <si>
    <t xml:space="preserve">11  ·  POWER &amp; FACILITY</t>
  </si>
  <si>
    <t xml:space="preserve">Rollout power</t>
  </si>
  <si>
    <t xml:space="preserve">MW</t>
  </si>
  <si>
    <t xml:space="preserve">Generation pool, facility-level.</t>
  </si>
  <si>
    <t xml:space="preserve">Training power</t>
  </si>
  <si>
    <t xml:space="preserve">Training pool, facility-level.</t>
  </si>
  <si>
    <t xml:space="preserve">Total facility power</t>
  </si>
  <si>
    <t xml:space="preserve">Colocated shares the pool.</t>
  </si>
  <si>
    <t xml:space="preserve">12  ·  SUMMARY &amp; RECOMMENDED CONFIG</t>
  </si>
  <si>
    <t xml:space="preserve">Binding cluster (est.)</t>
  </si>
  <si>
    <t xml:space="preserve">Which cluster gates throughput.</t>
  </si>
  <si>
    <t xml:space="preserve">Config valid?</t>
  </si>
  <si>
    <t xml:space="preserve">Memory fit + rollout TP within NVLink domain.</t>
  </si>
  <si>
    <t xml:space="preserve">Disaggregated for large runs</t>
  </si>
  <si>
    <t xml:space="preserve">Separate rollout/train pools pipeline generation with the previous step's training; colocated is simpler but serializes the two.</t>
  </si>
  <si>
    <t xml:space="preserve">Rollout engine</t>
  </si>
  <si>
    <t xml:space="preserve">vLLM / SGLang / Dynamo, high batch</t>
  </si>
  <si>
    <t xml:space="preserve">Decode is memory-bandwidth-bound; maximize concurrent trajectories (KV budget). Low batch ⇒ wasted GPUs.</t>
  </si>
  <si>
    <t xml:space="preserve">Balance</t>
  </si>
  <si>
    <t xml:space="preserve">Tune pool sizes to ratio ≈ 1</t>
  </si>
  <si>
    <t xml:space="preserve">Generation-dominated by default — expect the rollout pool to be the larger one. Grow it (or shrink train) until neither starves.</t>
  </si>
  <si>
    <t xml:space="preserve">Algorithm</t>
  </si>
  <si>
    <t xml:space="preserve">GRPO/RLOO drop the critic</t>
  </si>
  <si>
    <t xml:space="preserve">Halves training-side model count vs PPO. Rule-based rewards remove the reward-model pass entirely — big saving for math/code.</t>
  </si>
  <si>
    <t xml:space="preserve">Weight sync</t>
  </si>
  <si>
    <t xml:space="preserve">Colocated ⇒ NVLink (free); disaggregated ⇒ overlap</t>
  </si>
  <si>
    <t xml:space="preserve">Broadcast policy weights; overlap sync with generation of the next batch.</t>
  </si>
  <si>
    <t xml:space="preserve">Agentic</t>
  </si>
  <si>
    <t xml:space="preserve">Budget tool latency + long context</t>
  </si>
  <si>
    <t xml:space="preserve">Multi-turn KV grows every turn; tool round-trips can dominate wall-clock and idle GPUs — batch across many trajectories.</t>
  </si>
  <si>
    <t xml:space="preserve">Memory</t>
  </si>
  <si>
    <t xml:space="preserve">All models resident is the RL tax</t>
  </si>
  <si>
    <t xml:space="preserve">Policy(+optimizer) + reference + reward + critic co-resident. Shard or offload the frozen models (ref/reward) to CPU/other GPUs if tight.</t>
  </si>
  <si>
    <t xml:space="preserve">13  ·  VERIFY BEFORE EXTERNAL USE / SCOPE NOTES</t>
  </si>
  <si>
    <t xml:space="preserve">⚠  Decode throughput (tok/s per rollout GPU) is the single most sensitive input and is highly engine/model/batch-dependent — measure it on your stack; do not quote the placeholder.</t>
  </si>
  <si>
    <t xml:space="preserve">⚠  FLOP and time figures are order-of-magnitude planning estimates. RL throughput is gated by long-tail trajectory lengths, load imbalance, and pipeline bubbles not captured here.</t>
  </si>
  <si>
    <t xml:space="preserve">•  RL is generation-dominated: the rollout pool is usually the larger cost. Size it first, then match the training pool to consume at that rate.</t>
  </si>
  <si>
    <t xml:space="preserve">•  Model count is algorithm-driven: PPO = policy+critic+reference+reward (4); GRPO/RLOO = policy+reference+reward (3, no critic); DPO = policy+reference (2, offline, no rollout); RFT = policy only (generate→filter→SFT).</t>
  </si>
  <si>
    <t xml:space="preserve">•  Rule-based rewards (verifiable math/code) remove the reward model entirely — no resident weights, no scoring forward pass.</t>
  </si>
  <si>
    <t xml:space="preserve">•  Colocated vs disaggregated changes GPU accounting: colocated time-slices one pool (weight sync free); disaggregated runs two pools and pipelines them (sync over network).</t>
  </si>
  <si>
    <t xml:space="preserve">•  Agentic RL adds sequential tool-call latency and monotonically growing KV per turn — often the real wall-clock bottleneck, not FLOPs.</t>
  </si>
  <si>
    <t xml:space="preserve">•  OUT OF SCOPE: pretraining/SFT compute (see llm_training_sizing.xlsx) and diffusion/generative RLHF. A dedicated fine-tuning (SFT/LoRA/QLoRA) sheet is a separate deliverable.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</si>
</sst>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"/>
    <numFmt numFmtId="167" formatCode="0%"/>
    <numFmt numFmtId="168" formatCode="0.0"/>
    <numFmt numFmtId="169" formatCode="0"/>
    <numFmt numFmtId="170" formatCode="#,##0.00"/>
    <numFmt numFmtId="171" formatCode="0.00E+00"/>
    <numFmt numFmtId="172" formatCode="0.00"/>
    <numFmt numFmtId="173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D9D9D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BF8F00"/>
        <bgColor rgb="FFFF6600"/>
      </patternFill>
    </fill>
    <fill>
      <patternFill patternType="solid">
        <fgColor rgb="FF44546A"/>
        <bgColor rgb="FF595959"/>
      </patternFill>
    </fill>
    <fill>
      <patternFill patternType="solid">
        <fgColor rgb="FFFFD966"/>
        <bgColor rgb="FFFFFF99"/>
      </patternFill>
    </fill>
    <fill>
      <patternFill patternType="solid">
        <fgColor rgb="FF2E5496"/>
        <bgColor rgb="FF44546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7F6000"/>
      </left>
      <right style="medium">
        <color rgb="FF7F6000"/>
      </right>
      <top style="medium">
        <color rgb="FF7F6000"/>
      </top>
      <bottom style="medium">
        <color rgb="FF7F600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4" t="s">
        <v>6</v>
      </c>
    </row>
    <row r="6" customFormat="false" ht="22.35" hidden="false" customHeight="false" outlineLevel="0" collapsed="false">
      <c r="A6" s="6" t="s">
        <v>7</v>
      </c>
      <c r="B6" s="7" t="s">
        <v>8</v>
      </c>
      <c r="C6" s="8" t="s">
        <v>9</v>
      </c>
      <c r="D6" s="9" t="s">
        <v>10</v>
      </c>
    </row>
    <row r="7" customFormat="false" ht="22.35" hidden="false" customHeight="false" outlineLevel="0" collapsed="false">
      <c r="A7" s="6" t="s">
        <v>11</v>
      </c>
      <c r="B7" s="7" t="s">
        <v>12</v>
      </c>
      <c r="C7" s="8" t="s">
        <v>9</v>
      </c>
      <c r="D7" s="9" t="s">
        <v>13</v>
      </c>
    </row>
    <row r="8" customFormat="false" ht="22.35" hidden="false" customHeight="false" outlineLevel="0" collapsed="false">
      <c r="A8" s="6" t="s">
        <v>14</v>
      </c>
      <c r="B8" s="7" t="s">
        <v>15</v>
      </c>
      <c r="C8" s="8" t="s">
        <v>9</v>
      </c>
      <c r="D8" s="9" t="s">
        <v>16</v>
      </c>
    </row>
    <row r="9" customFormat="false" ht="22.35" hidden="false" customHeight="false" outlineLevel="0" collapsed="false">
      <c r="A9" s="6" t="s">
        <v>17</v>
      </c>
      <c r="B9" s="7" t="s">
        <v>18</v>
      </c>
      <c r="C9" s="8" t="s">
        <v>9</v>
      </c>
      <c r="D9" s="9" t="s">
        <v>19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8" t="s">
        <v>9</v>
      </c>
      <c r="D10" s="9" t="s">
        <v>22</v>
      </c>
    </row>
    <row r="11" customFormat="false" ht="15" hidden="false" customHeight="false" outlineLevel="0" collapsed="false">
      <c r="A11" s="6" t="s">
        <v>23</v>
      </c>
      <c r="B11" s="7" t="s">
        <v>24</v>
      </c>
      <c r="C11" s="8" t="s">
        <v>9</v>
      </c>
      <c r="D11" s="9" t="s">
        <v>25</v>
      </c>
    </row>
    <row r="13" customFormat="false" ht="19.5" hidden="false" customHeight="true" outlineLevel="0" collapsed="false">
      <c r="A13" s="10" t="s">
        <v>26</v>
      </c>
      <c r="B13" s="10"/>
      <c r="C13" s="10"/>
      <c r="D13" s="10"/>
    </row>
    <row r="14" customFormat="false" ht="15" hidden="false" customHeight="false" outlineLevel="0" collapsed="false">
      <c r="A14" s="4" t="s">
        <v>3</v>
      </c>
      <c r="B14" s="5" t="s">
        <v>4</v>
      </c>
      <c r="C14" s="5" t="s">
        <v>5</v>
      </c>
      <c r="D14" s="4" t="s">
        <v>6</v>
      </c>
    </row>
    <row r="15" customFormat="false" ht="15" hidden="false" customHeight="false" outlineLevel="0" collapsed="false">
      <c r="A15" s="6" t="s">
        <v>27</v>
      </c>
      <c r="B15" s="11" t="n">
        <v>32</v>
      </c>
      <c r="C15" s="8" t="s">
        <v>28</v>
      </c>
      <c r="D15" s="9" t="s">
        <v>29</v>
      </c>
    </row>
    <row r="16" customFormat="false" ht="15" hidden="false" customHeight="false" outlineLevel="0" collapsed="false">
      <c r="A16" s="6" t="s">
        <v>30</v>
      </c>
      <c r="B16" s="11" t="n">
        <v>32</v>
      </c>
      <c r="C16" s="8" t="s">
        <v>28</v>
      </c>
      <c r="D16" s="9" t="s">
        <v>31</v>
      </c>
    </row>
    <row r="17" customFormat="false" ht="15" hidden="false" customHeight="false" outlineLevel="0" collapsed="false">
      <c r="A17" s="6" t="s">
        <v>32</v>
      </c>
      <c r="B17" s="11" t="n">
        <v>32</v>
      </c>
      <c r="C17" s="8" t="s">
        <v>28</v>
      </c>
      <c r="D17" s="9" t="s">
        <v>33</v>
      </c>
    </row>
    <row r="18" customFormat="false" ht="15" hidden="false" customHeight="false" outlineLevel="0" collapsed="false">
      <c r="A18" s="6" t="s">
        <v>34</v>
      </c>
      <c r="B18" s="11" t="n">
        <v>32</v>
      </c>
      <c r="C18" s="8" t="s">
        <v>28</v>
      </c>
      <c r="D18" s="9" t="s">
        <v>35</v>
      </c>
    </row>
    <row r="19" customFormat="false" ht="15" hidden="false" customHeight="false" outlineLevel="0" collapsed="false">
      <c r="A19" s="6" t="s">
        <v>36</v>
      </c>
      <c r="B19" s="12" t="s">
        <v>37</v>
      </c>
      <c r="C19" s="8"/>
      <c r="D19" s="9" t="s">
        <v>38</v>
      </c>
    </row>
    <row r="20" customFormat="false" ht="15" hidden="false" customHeight="false" outlineLevel="0" collapsed="false">
      <c r="A20" s="6" t="s">
        <v>39</v>
      </c>
      <c r="B20" s="11" t="n">
        <v>64</v>
      </c>
      <c r="C20" s="8" t="s">
        <v>40</v>
      </c>
      <c r="D20" s="9" t="s">
        <v>41</v>
      </c>
    </row>
    <row r="21" customFormat="false" ht="15" hidden="false" customHeight="false" outlineLevel="0" collapsed="false">
      <c r="A21" s="6" t="s">
        <v>42</v>
      </c>
      <c r="B21" s="11" t="n">
        <v>8192</v>
      </c>
      <c r="C21" s="8" t="s">
        <v>43</v>
      </c>
      <c r="D21" s="9" t="s">
        <v>44</v>
      </c>
    </row>
    <row r="22" customFormat="false" ht="15" hidden="false" customHeight="false" outlineLevel="0" collapsed="false">
      <c r="A22" s="6" t="s">
        <v>45</v>
      </c>
      <c r="B22" s="11" t="n">
        <v>8</v>
      </c>
      <c r="C22" s="8" t="s">
        <v>46</v>
      </c>
      <c r="D22" s="9" t="s">
        <v>47</v>
      </c>
    </row>
    <row r="24" customFormat="false" ht="19.5" hidden="false" customHeight="true" outlineLevel="0" collapsed="false">
      <c r="A24" s="10" t="s">
        <v>48</v>
      </c>
      <c r="B24" s="10"/>
      <c r="C24" s="10"/>
      <c r="D24" s="10"/>
    </row>
    <row r="25" customFormat="false" ht="15" hidden="false" customHeight="false" outlineLevel="0" collapsed="false">
      <c r="A25" s="4" t="s">
        <v>3</v>
      </c>
      <c r="B25" s="5" t="s">
        <v>4</v>
      </c>
      <c r="C25" s="5" t="s">
        <v>5</v>
      </c>
      <c r="D25" s="4" t="s">
        <v>6</v>
      </c>
    </row>
    <row r="26" customFormat="false" ht="15" hidden="false" customHeight="false" outlineLevel="0" collapsed="false">
      <c r="A26" s="6" t="s">
        <v>49</v>
      </c>
      <c r="B26" s="11" t="n">
        <v>1024</v>
      </c>
      <c r="C26" s="8" t="s">
        <v>50</v>
      </c>
      <c r="D26" s="9" t="s">
        <v>51</v>
      </c>
    </row>
    <row r="27" customFormat="false" ht="15" hidden="false" customHeight="false" outlineLevel="0" collapsed="false">
      <c r="A27" s="6" t="s">
        <v>52</v>
      </c>
      <c r="B27" s="11" t="n">
        <v>8</v>
      </c>
      <c r="C27" s="8" t="s">
        <v>53</v>
      </c>
      <c r="D27" s="9" t="s">
        <v>54</v>
      </c>
    </row>
    <row r="28" customFormat="false" ht="15" hidden="false" customHeight="false" outlineLevel="0" collapsed="false">
      <c r="A28" s="6" t="s">
        <v>55</v>
      </c>
      <c r="B28" s="11" t="n">
        <v>1024</v>
      </c>
      <c r="C28" s="8" t="s">
        <v>56</v>
      </c>
      <c r="D28" s="9" t="s">
        <v>57</v>
      </c>
    </row>
    <row r="29" customFormat="false" ht="15" hidden="false" customHeight="false" outlineLevel="0" collapsed="false">
      <c r="A29" s="6" t="s">
        <v>58</v>
      </c>
      <c r="B29" s="11" t="n">
        <v>4096</v>
      </c>
      <c r="C29" s="8" t="s">
        <v>56</v>
      </c>
      <c r="D29" s="9" t="s">
        <v>59</v>
      </c>
    </row>
    <row r="30" customFormat="false" ht="15" hidden="false" customHeight="false" outlineLevel="0" collapsed="false">
      <c r="A30" s="6" t="s">
        <v>60</v>
      </c>
      <c r="B30" s="11" t="n">
        <v>1</v>
      </c>
      <c r="C30" s="8" t="s">
        <v>61</v>
      </c>
      <c r="D30" s="9" t="s">
        <v>62</v>
      </c>
    </row>
    <row r="31" customFormat="false" ht="15" hidden="false" customHeight="false" outlineLevel="0" collapsed="false">
      <c r="A31" s="6" t="s">
        <v>63</v>
      </c>
      <c r="B31" s="13" t="n">
        <v>2</v>
      </c>
      <c r="C31" s="8" t="s">
        <v>64</v>
      </c>
      <c r="D31" s="9" t="s">
        <v>65</v>
      </c>
    </row>
    <row r="32" customFormat="false" ht="15" hidden="false" customHeight="false" outlineLevel="0" collapsed="false">
      <c r="A32" s="6" t="s">
        <v>66</v>
      </c>
      <c r="B32" s="11" t="n">
        <v>1</v>
      </c>
      <c r="C32" s="8" t="s">
        <v>67</v>
      </c>
      <c r="D32" s="9" t="s">
        <v>68</v>
      </c>
    </row>
    <row r="33" customFormat="false" ht="15" hidden="false" customHeight="false" outlineLevel="0" collapsed="false">
      <c r="A33" s="6" t="s">
        <v>69</v>
      </c>
      <c r="B33" s="14" t="n">
        <v>0.3</v>
      </c>
      <c r="C33" s="8" t="s">
        <v>70</v>
      </c>
      <c r="D33" s="9" t="s">
        <v>71</v>
      </c>
    </row>
    <row r="34" customFormat="false" ht="15" hidden="false" customHeight="false" outlineLevel="0" collapsed="false">
      <c r="A34" s="6" t="s">
        <v>72</v>
      </c>
      <c r="B34" s="11" t="n">
        <v>1000</v>
      </c>
      <c r="C34" s="8" t="s">
        <v>73</v>
      </c>
      <c r="D34" s="9" t="s">
        <v>74</v>
      </c>
    </row>
    <row r="36" customFormat="false" ht="19.5" hidden="false" customHeight="true" outlineLevel="0" collapsed="false">
      <c r="A36" s="10" t="s">
        <v>75</v>
      </c>
      <c r="B36" s="10"/>
      <c r="C36" s="10"/>
      <c r="D36" s="10"/>
    </row>
    <row r="37" customFormat="false" ht="15" hidden="false" customHeight="false" outlineLevel="0" collapsed="false">
      <c r="A37" s="4" t="s">
        <v>3</v>
      </c>
      <c r="B37" s="5" t="s">
        <v>4</v>
      </c>
      <c r="C37" s="5" t="s">
        <v>5</v>
      </c>
      <c r="D37" s="4" t="s">
        <v>6</v>
      </c>
    </row>
    <row r="38" customFormat="false" ht="15" hidden="false" customHeight="false" outlineLevel="0" collapsed="false">
      <c r="A38" s="6" t="s">
        <v>76</v>
      </c>
      <c r="B38" s="15" t="n">
        <f aca="false">IF(B11="DGX B300",8,72)</f>
        <v>8</v>
      </c>
      <c r="C38" s="8" t="s">
        <v>77</v>
      </c>
      <c r="D38" s="9" t="s">
        <v>78</v>
      </c>
    </row>
    <row r="39" customFormat="false" ht="15" hidden="false" customHeight="false" outlineLevel="0" collapsed="false">
      <c r="A39" s="6" t="s">
        <v>79</v>
      </c>
      <c r="B39" s="11" t="n">
        <v>8</v>
      </c>
      <c r="C39" s="8" t="s">
        <v>77</v>
      </c>
      <c r="D39" s="9" t="s">
        <v>80</v>
      </c>
    </row>
    <row r="40" customFormat="false" ht="15" hidden="false" customHeight="false" outlineLevel="0" collapsed="false">
      <c r="A40" s="6" t="s">
        <v>81</v>
      </c>
      <c r="B40" s="11" t="n">
        <v>288</v>
      </c>
      <c r="C40" s="8" t="s">
        <v>82</v>
      </c>
      <c r="D40" s="9" t="s">
        <v>83</v>
      </c>
    </row>
    <row r="41" customFormat="false" ht="15" hidden="false" customHeight="false" outlineLevel="0" collapsed="false">
      <c r="A41" s="6" t="s">
        <v>84</v>
      </c>
      <c r="B41" s="11" t="n">
        <v>1400</v>
      </c>
      <c r="C41" s="8" t="s">
        <v>85</v>
      </c>
      <c r="D41" s="9" t="s">
        <v>86</v>
      </c>
    </row>
    <row r="42" customFormat="false" ht="15" hidden="false" customHeight="false" outlineLevel="0" collapsed="false">
      <c r="A42" s="6" t="s">
        <v>87</v>
      </c>
      <c r="B42" s="16" t="n">
        <v>2.5</v>
      </c>
      <c r="C42" s="8" t="s">
        <v>88</v>
      </c>
      <c r="D42" s="9" t="s">
        <v>89</v>
      </c>
    </row>
    <row r="43" customFormat="false" ht="15" hidden="false" customHeight="false" outlineLevel="0" collapsed="false">
      <c r="A43" s="6" t="s">
        <v>90</v>
      </c>
      <c r="B43" s="16" t="n">
        <v>5</v>
      </c>
      <c r="C43" s="8" t="s">
        <v>88</v>
      </c>
      <c r="D43" s="9" t="s">
        <v>91</v>
      </c>
    </row>
    <row r="44" customFormat="false" ht="15" hidden="false" customHeight="false" outlineLevel="0" collapsed="false">
      <c r="A44" s="6" t="s">
        <v>92</v>
      </c>
      <c r="B44" s="14" t="n">
        <v>0.3</v>
      </c>
      <c r="C44" s="8" t="s">
        <v>70</v>
      </c>
      <c r="D44" s="9" t="s">
        <v>93</v>
      </c>
    </row>
    <row r="45" customFormat="false" ht="22.35" hidden="false" customHeight="false" outlineLevel="0" collapsed="false">
      <c r="A45" s="6" t="s">
        <v>94</v>
      </c>
      <c r="B45" s="11" t="n">
        <v>3000</v>
      </c>
      <c r="C45" s="8" t="s">
        <v>95</v>
      </c>
      <c r="D45" s="9" t="s">
        <v>96</v>
      </c>
    </row>
    <row r="46" customFormat="false" ht="15" hidden="false" customHeight="false" outlineLevel="0" collapsed="false">
      <c r="A46" s="6" t="s">
        <v>97</v>
      </c>
      <c r="B46" s="11" t="n">
        <v>100</v>
      </c>
      <c r="C46" s="8" t="s">
        <v>98</v>
      </c>
      <c r="D46" s="9" t="s">
        <v>99</v>
      </c>
    </row>
    <row r="47" customFormat="false" ht="15" hidden="false" customHeight="false" outlineLevel="0" collapsed="false">
      <c r="A47" s="6" t="s">
        <v>100</v>
      </c>
      <c r="B47" s="11" t="n">
        <v>900</v>
      </c>
      <c r="C47" s="8" t="s">
        <v>98</v>
      </c>
      <c r="D47" s="9" t="s">
        <v>101</v>
      </c>
    </row>
    <row r="48" customFormat="false" ht="15" hidden="false" customHeight="false" outlineLevel="0" collapsed="false">
      <c r="A48" s="6" t="s">
        <v>102</v>
      </c>
      <c r="B48" s="16" t="n">
        <v>1.4</v>
      </c>
      <c r="C48" s="8" t="s">
        <v>46</v>
      </c>
      <c r="D48" s="9" t="s">
        <v>103</v>
      </c>
    </row>
    <row r="50" customFormat="false" ht="19.5" hidden="false" customHeight="true" outlineLevel="0" collapsed="false">
      <c r="A50" s="10" t="s">
        <v>104</v>
      </c>
      <c r="B50" s="10"/>
      <c r="C50" s="10"/>
      <c r="D50" s="10"/>
    </row>
    <row r="51" customFormat="false" ht="15" hidden="false" customHeight="false" outlineLevel="0" collapsed="false">
      <c r="A51" s="4" t="s">
        <v>3</v>
      </c>
      <c r="B51" s="5" t="s">
        <v>4</v>
      </c>
      <c r="C51" s="5" t="s">
        <v>5</v>
      </c>
      <c r="D51" s="4" t="s">
        <v>6</v>
      </c>
    </row>
    <row r="52" customFormat="false" ht="15" hidden="false" customHeight="false" outlineLevel="0" collapsed="false">
      <c r="A52" s="6" t="s">
        <v>105</v>
      </c>
      <c r="B52" s="17" t="n">
        <f aca="false">IF(B6="DPO",0,1)</f>
        <v>1</v>
      </c>
      <c r="C52" s="8" t="s">
        <v>106</v>
      </c>
      <c r="D52" s="9" t="s">
        <v>107</v>
      </c>
    </row>
    <row r="53" customFormat="false" ht="15" hidden="false" customHeight="false" outlineLevel="0" collapsed="false">
      <c r="A53" s="6" t="s">
        <v>108</v>
      </c>
      <c r="B53" s="17" t="n">
        <f aca="false">IF(B6="RFT",0,1)</f>
        <v>1</v>
      </c>
      <c r="C53" s="8" t="s">
        <v>106</v>
      </c>
      <c r="D53" s="9" t="s">
        <v>109</v>
      </c>
    </row>
    <row r="54" customFormat="false" ht="15" hidden="false" customHeight="false" outlineLevel="0" collapsed="false">
      <c r="A54" s="6" t="s">
        <v>110</v>
      </c>
      <c r="B54" s="17" t="n">
        <f aca="false">IF(B6="PPO",1,0)</f>
        <v>0</v>
      </c>
      <c r="C54" s="8" t="s">
        <v>106</v>
      </c>
      <c r="D54" s="9" t="s">
        <v>111</v>
      </c>
    </row>
    <row r="55" customFormat="false" ht="15" hidden="false" customHeight="false" outlineLevel="0" collapsed="false">
      <c r="A55" s="6" t="s">
        <v>112</v>
      </c>
      <c r="B55" s="17" t="n">
        <f aca="false">IF(AND(B8&lt;&gt;"Rule-based",B6&lt;&gt;"DPO"),1,0)</f>
        <v>0</v>
      </c>
      <c r="C55" s="8" t="s">
        <v>106</v>
      </c>
      <c r="D55" s="9" t="s">
        <v>113</v>
      </c>
    </row>
    <row r="56" customFormat="false" ht="15" hidden="false" customHeight="false" outlineLevel="0" collapsed="false">
      <c r="A56" s="6" t="s">
        <v>114</v>
      </c>
      <c r="B56" s="15" t="n">
        <f aca="false">IF(OR(B6="GRPO",B6="RLOO"),B27,1)</f>
        <v>8</v>
      </c>
      <c r="C56" s="8" t="s">
        <v>46</v>
      </c>
      <c r="D56" s="9" t="s">
        <v>115</v>
      </c>
    </row>
    <row r="58" customFormat="false" ht="19.5" hidden="false" customHeight="true" outlineLevel="0" collapsed="false">
      <c r="A58" s="10" t="s">
        <v>116</v>
      </c>
      <c r="B58" s="10"/>
      <c r="C58" s="10"/>
      <c r="D58" s="10"/>
    </row>
    <row r="59" customFormat="false" ht="15" hidden="false" customHeight="false" outlineLevel="0" collapsed="false">
      <c r="A59" s="4" t="s">
        <v>3</v>
      </c>
      <c r="B59" s="5" t="s">
        <v>4</v>
      </c>
      <c r="C59" s="5" t="s">
        <v>5</v>
      </c>
      <c r="D59" s="4" t="s">
        <v>6</v>
      </c>
    </row>
    <row r="60" customFormat="false" ht="15" hidden="false" customHeight="false" outlineLevel="0" collapsed="false">
      <c r="A60" s="6" t="s">
        <v>117</v>
      </c>
      <c r="B60" s="15" t="n">
        <f aca="false">B52*B26*B56*B30*B29</f>
        <v>33554432</v>
      </c>
      <c r="C60" s="8" t="s">
        <v>56</v>
      </c>
      <c r="D60" s="9" t="s">
        <v>118</v>
      </c>
    </row>
    <row r="61" customFormat="false" ht="15" hidden="false" customHeight="false" outlineLevel="0" collapsed="false">
      <c r="A61" s="6" t="s">
        <v>119</v>
      </c>
      <c r="B61" s="11" t="n">
        <v>64</v>
      </c>
      <c r="C61" s="8" t="s">
        <v>77</v>
      </c>
      <c r="D61" s="9" t="s">
        <v>120</v>
      </c>
    </row>
    <row r="62" customFormat="false" ht="15" hidden="false" customHeight="false" outlineLevel="0" collapsed="false">
      <c r="A62" s="6" t="s">
        <v>121</v>
      </c>
      <c r="B62" s="11" t="n">
        <v>8</v>
      </c>
      <c r="C62" s="8" t="s">
        <v>122</v>
      </c>
      <c r="D62" s="9" t="s">
        <v>123</v>
      </c>
    </row>
    <row r="63" customFormat="false" ht="15" hidden="false" customHeight="false" outlineLevel="0" collapsed="false">
      <c r="A63" s="6" t="s">
        <v>124</v>
      </c>
      <c r="B63" s="18" t="n">
        <f aca="false">IF(B61=0,0,B60/(B61*B45))</f>
        <v>174.762666666667</v>
      </c>
      <c r="C63" s="8" t="s">
        <v>64</v>
      </c>
      <c r="D63" s="9" t="s">
        <v>125</v>
      </c>
    </row>
    <row r="64" customFormat="false" ht="15" hidden="false" customHeight="false" outlineLevel="0" collapsed="false">
      <c r="A64" s="6" t="s">
        <v>126</v>
      </c>
      <c r="B64" s="18" t="n">
        <f aca="false">IF(B9="Agentic",B30*B31,0)</f>
        <v>0</v>
      </c>
      <c r="C64" s="8" t="s">
        <v>64</v>
      </c>
      <c r="D64" s="9" t="s">
        <v>127</v>
      </c>
    </row>
    <row r="65" customFormat="false" ht="15" hidden="false" customHeight="false" outlineLevel="0" collapsed="false">
      <c r="A65" s="6" t="s">
        <v>128</v>
      </c>
      <c r="B65" s="19" t="n">
        <f aca="false">B63+B64</f>
        <v>174.762666666667</v>
      </c>
      <c r="C65" s="8" t="s">
        <v>64</v>
      </c>
      <c r="D65" s="9" t="s">
        <v>129</v>
      </c>
    </row>
    <row r="66" customFormat="false" ht="15" hidden="false" customHeight="false" outlineLevel="0" collapsed="false">
      <c r="A66" s="6" t="s">
        <v>130</v>
      </c>
      <c r="B66" s="15" t="n">
        <f aca="false">2*B20*(B21/B22)*2</f>
        <v>262144</v>
      </c>
      <c r="C66" s="8" t="s">
        <v>28</v>
      </c>
      <c r="D66" s="9" t="s">
        <v>131</v>
      </c>
    </row>
    <row r="67" customFormat="false" ht="15" hidden="false" customHeight="false" outlineLevel="0" collapsed="false">
      <c r="A67" s="6" t="s">
        <v>132</v>
      </c>
      <c r="B67" s="15" t="n">
        <f aca="false">B28+B30*B29</f>
        <v>5120</v>
      </c>
      <c r="C67" s="8" t="s">
        <v>56</v>
      </c>
      <c r="D67" s="9" t="s">
        <v>133</v>
      </c>
    </row>
    <row r="68" customFormat="false" ht="15" hidden="false" customHeight="false" outlineLevel="0" collapsed="false">
      <c r="A68" s="6" t="s">
        <v>134</v>
      </c>
      <c r="B68" s="20" t="n">
        <f aca="false">B66*B67/1000000000</f>
        <v>1.34217728</v>
      </c>
      <c r="C68" s="8" t="s">
        <v>82</v>
      </c>
      <c r="D68" s="9" t="s">
        <v>135</v>
      </c>
    </row>
    <row r="69" customFormat="false" ht="15" hidden="false" customHeight="false" outlineLevel="0" collapsed="false">
      <c r="A69" s="6" t="s">
        <v>136</v>
      </c>
      <c r="B69" s="18" t="n">
        <f aca="false">2*B15*1000000000/B62/1000000000</f>
        <v>8</v>
      </c>
      <c r="C69" s="8" t="s">
        <v>82</v>
      </c>
      <c r="D69" s="9" t="s">
        <v>137</v>
      </c>
    </row>
    <row r="70" customFormat="false" ht="15" hidden="false" customHeight="false" outlineLevel="0" collapsed="false">
      <c r="A70" s="6" t="s">
        <v>138</v>
      </c>
      <c r="B70" s="18" t="n">
        <f aca="false">B40*0.9-B69</f>
        <v>251.2</v>
      </c>
      <c r="C70" s="8" t="s">
        <v>82</v>
      </c>
      <c r="D70" s="9" t="s">
        <v>139</v>
      </c>
    </row>
    <row r="71" customFormat="false" ht="15" hidden="false" customHeight="false" outlineLevel="0" collapsed="false">
      <c r="A71" s="6" t="s">
        <v>140</v>
      </c>
      <c r="B71" s="15" t="n">
        <f aca="false">IF(B68=0,0,B70/B68*B62)</f>
        <v>1497.26867675781</v>
      </c>
      <c r="C71" s="8" t="s">
        <v>141</v>
      </c>
      <c r="D71" s="9" t="s">
        <v>142</v>
      </c>
    </row>
    <row r="73" customFormat="false" ht="19.5" hidden="false" customHeight="true" outlineLevel="0" collapsed="false">
      <c r="A73" s="10" t="s">
        <v>143</v>
      </c>
      <c r="B73" s="10"/>
      <c r="C73" s="10"/>
      <c r="D73" s="10"/>
    </row>
    <row r="74" customFormat="false" ht="15" hidden="false" customHeight="false" outlineLevel="0" collapsed="false">
      <c r="A74" s="4" t="s">
        <v>3</v>
      </c>
      <c r="B74" s="5" t="s">
        <v>4</v>
      </c>
      <c r="C74" s="5" t="s">
        <v>5</v>
      </c>
      <c r="D74" s="4" t="s">
        <v>6</v>
      </c>
    </row>
    <row r="75" customFormat="false" ht="15" hidden="false" customHeight="false" outlineLevel="0" collapsed="false">
      <c r="A75" s="6" t="s">
        <v>144</v>
      </c>
      <c r="B75" s="15" t="n">
        <f aca="false">IF(B6="DPO",B26*2*(B28+B29),IF(B6="RFT",B26*B56*(B28+B30*B29)*B33,B26*B56*(B28+B30*B29)))</f>
        <v>41943040</v>
      </c>
      <c r="C75" s="8" t="s">
        <v>56</v>
      </c>
      <c r="D75" s="9" t="s">
        <v>145</v>
      </c>
    </row>
    <row r="76" customFormat="false" ht="15" hidden="false" customHeight="false" outlineLevel="0" collapsed="false">
      <c r="A76" s="6" t="s">
        <v>146</v>
      </c>
      <c r="B76" s="21" t="n">
        <f aca="false">6*B15*1000000000*B75*B32</f>
        <v>8.05306368E+018</v>
      </c>
      <c r="C76" s="8" t="s">
        <v>147</v>
      </c>
      <c r="D76" s="9" t="s">
        <v>148</v>
      </c>
    </row>
    <row r="77" customFormat="false" ht="15" hidden="false" customHeight="false" outlineLevel="0" collapsed="false">
      <c r="A77" s="6" t="s">
        <v>149</v>
      </c>
      <c r="B77" s="21" t="n">
        <f aca="false">B53*2*B16*1000000000*B75</f>
        <v>2.68435456E+018</v>
      </c>
      <c r="C77" s="8" t="s">
        <v>147</v>
      </c>
      <c r="D77" s="9" t="s">
        <v>150</v>
      </c>
    </row>
    <row r="78" customFormat="false" ht="15" hidden="false" customHeight="false" outlineLevel="0" collapsed="false">
      <c r="A78" s="6" t="s">
        <v>151</v>
      </c>
      <c r="B78" s="21" t="n">
        <f aca="false">B55*2*B17*1000000000*B26*B56*(B28+B30*B29)</f>
        <v>0</v>
      </c>
      <c r="C78" s="8" t="s">
        <v>147</v>
      </c>
      <c r="D78" s="9" t="s">
        <v>152</v>
      </c>
    </row>
    <row r="79" customFormat="false" ht="15" hidden="false" customHeight="false" outlineLevel="0" collapsed="false">
      <c r="A79" s="6" t="s">
        <v>153</v>
      </c>
      <c r="B79" s="21" t="n">
        <f aca="false">B54*6*B18*1000000000*B75</f>
        <v>0</v>
      </c>
      <c r="C79" s="8" t="s">
        <v>147</v>
      </c>
      <c r="D79" s="9" t="s">
        <v>154</v>
      </c>
    </row>
    <row r="80" customFormat="false" ht="15" hidden="false" customHeight="false" outlineLevel="0" collapsed="false">
      <c r="A80" s="6" t="s">
        <v>155</v>
      </c>
      <c r="B80" s="21" t="n">
        <f aca="false">B76+B77+B78+B79</f>
        <v>1.073741824E+019</v>
      </c>
      <c r="C80" s="8" t="s">
        <v>147</v>
      </c>
      <c r="D80" s="9" t="s">
        <v>156</v>
      </c>
    </row>
    <row r="81" customFormat="false" ht="15" hidden="false" customHeight="false" outlineLevel="0" collapsed="false">
      <c r="A81" s="6" t="s">
        <v>157</v>
      </c>
      <c r="B81" s="11" t="n">
        <v>256</v>
      </c>
      <c r="C81" s="8" t="s">
        <v>77</v>
      </c>
      <c r="D81" s="9" t="s">
        <v>158</v>
      </c>
    </row>
    <row r="82" customFormat="false" ht="15" hidden="false" customHeight="false" outlineLevel="0" collapsed="false">
      <c r="A82" s="6" t="s">
        <v>159</v>
      </c>
      <c r="B82" s="22" t="n">
        <f aca="false">IF(B10="FP8",B43,B42)</f>
        <v>2.5</v>
      </c>
      <c r="C82" s="8" t="s">
        <v>160</v>
      </c>
      <c r="D82" s="9" t="s">
        <v>161</v>
      </c>
    </row>
    <row r="83" customFormat="false" ht="15" hidden="false" customHeight="false" outlineLevel="0" collapsed="false">
      <c r="A83" s="6" t="s">
        <v>162</v>
      </c>
      <c r="B83" s="23" t="n">
        <f aca="false">B82*B44</f>
        <v>0.75</v>
      </c>
      <c r="C83" s="8" t="s">
        <v>160</v>
      </c>
      <c r="D83" s="9" t="s">
        <v>163</v>
      </c>
    </row>
    <row r="84" customFormat="false" ht="15" hidden="false" customHeight="false" outlineLevel="0" collapsed="false">
      <c r="A84" s="6" t="s">
        <v>164</v>
      </c>
      <c r="B84" s="19" t="n">
        <f aca="false">IF(B81=0,0,B80/(B81*B83*1000000000000000))</f>
        <v>55.9240533333333</v>
      </c>
      <c r="C84" s="8" t="s">
        <v>64</v>
      </c>
      <c r="D84" s="9" t="s">
        <v>165</v>
      </c>
    </row>
    <row r="86" customFormat="false" ht="19.5" hidden="false" customHeight="true" outlineLevel="0" collapsed="false">
      <c r="A86" s="10" t="s">
        <v>166</v>
      </c>
      <c r="B86" s="10"/>
      <c r="C86" s="10"/>
      <c r="D86" s="10"/>
    </row>
    <row r="87" customFormat="false" ht="15" hidden="false" customHeight="false" outlineLevel="0" collapsed="false">
      <c r="A87" s="4" t="s">
        <v>3</v>
      </c>
      <c r="B87" s="5" t="s">
        <v>4</v>
      </c>
      <c r="C87" s="5" t="s">
        <v>5</v>
      </c>
      <c r="D87" s="4" t="s">
        <v>6</v>
      </c>
    </row>
    <row r="88" customFormat="false" ht="15" hidden="false" customHeight="false" outlineLevel="0" collapsed="false">
      <c r="A88" s="6" t="s">
        <v>167</v>
      </c>
      <c r="B88" s="18" t="n">
        <f aca="false">2*B15*1000000000/1000000000</f>
        <v>64</v>
      </c>
      <c r="C88" s="8" t="s">
        <v>82</v>
      </c>
      <c r="D88" s="9" t="s">
        <v>168</v>
      </c>
    </row>
    <row r="89" customFormat="false" ht="15" hidden="false" customHeight="false" outlineLevel="0" collapsed="false">
      <c r="A89" s="6" t="s">
        <v>169</v>
      </c>
      <c r="B89" s="11" t="n">
        <v>1</v>
      </c>
      <c r="C89" s="8" t="s">
        <v>73</v>
      </c>
      <c r="D89" s="9" t="s">
        <v>170</v>
      </c>
    </row>
    <row r="90" customFormat="false" ht="15" hidden="false" customHeight="false" outlineLevel="0" collapsed="false">
      <c r="A90" s="6" t="s">
        <v>171</v>
      </c>
      <c r="B90" s="15" t="n">
        <f aca="false">IF(B7="Colocated",B47,B46)</f>
        <v>100</v>
      </c>
      <c r="C90" s="8" t="s">
        <v>98</v>
      </c>
      <c r="D90" s="9" t="s">
        <v>172</v>
      </c>
    </row>
    <row r="91" customFormat="false" ht="15" hidden="false" customHeight="false" outlineLevel="0" collapsed="false">
      <c r="A91" s="6" t="s">
        <v>173</v>
      </c>
      <c r="B91" s="20" t="n">
        <f aca="false">B88/B90/B89</f>
        <v>0.64</v>
      </c>
      <c r="C91" s="8" t="s">
        <v>64</v>
      </c>
      <c r="D91" s="9" t="s">
        <v>174</v>
      </c>
    </row>
    <row r="93" customFormat="false" ht="19.5" hidden="false" customHeight="true" outlineLevel="0" collapsed="false">
      <c r="A93" s="10" t="s">
        <v>175</v>
      </c>
      <c r="B93" s="10"/>
      <c r="C93" s="10"/>
      <c r="D93" s="10"/>
    </row>
    <row r="94" customFormat="false" ht="15" hidden="false" customHeight="false" outlineLevel="0" collapsed="false">
      <c r="A94" s="4" t="s">
        <v>3</v>
      </c>
      <c r="B94" s="5" t="s">
        <v>4</v>
      </c>
      <c r="C94" s="5" t="s">
        <v>5</v>
      </c>
      <c r="D94" s="4" t="s">
        <v>6</v>
      </c>
    </row>
    <row r="95" customFormat="false" ht="15" hidden="false" customHeight="false" outlineLevel="0" collapsed="false">
      <c r="A95" s="6" t="s">
        <v>176</v>
      </c>
      <c r="B95" s="15" t="n">
        <f aca="false">IF(B19="AdamW",18,14)</f>
        <v>18</v>
      </c>
      <c r="C95" s="8" t="s">
        <v>28</v>
      </c>
      <c r="D95" s="9" t="s">
        <v>177</v>
      </c>
    </row>
    <row r="96" customFormat="false" ht="15" hidden="false" customHeight="false" outlineLevel="0" collapsed="false">
      <c r="A96" s="6" t="s">
        <v>178</v>
      </c>
      <c r="B96" s="18" t="n">
        <f aca="false">B95*B15*1000000000/B81/1000000000</f>
        <v>2.25</v>
      </c>
      <c r="C96" s="8" t="s">
        <v>82</v>
      </c>
      <c r="D96" s="9" t="s">
        <v>179</v>
      </c>
    </row>
    <row r="97" customFormat="false" ht="15" hidden="false" customHeight="false" outlineLevel="0" collapsed="false">
      <c r="A97" s="6" t="s">
        <v>180</v>
      </c>
      <c r="B97" s="18" t="n">
        <f aca="false">B53*2*B16*1000000000/B81/1000000000</f>
        <v>0.25</v>
      </c>
      <c r="C97" s="8" t="s">
        <v>82</v>
      </c>
      <c r="D97" s="9" t="s">
        <v>181</v>
      </c>
    </row>
    <row r="98" customFormat="false" ht="15" hidden="false" customHeight="false" outlineLevel="0" collapsed="false">
      <c r="A98" s="6" t="s">
        <v>182</v>
      </c>
      <c r="B98" s="18" t="n">
        <f aca="false">B55*2*B17*1000000000/B81/1000000000</f>
        <v>0</v>
      </c>
      <c r="C98" s="8" t="s">
        <v>82</v>
      </c>
      <c r="D98" s="9" t="s">
        <v>183</v>
      </c>
    </row>
    <row r="99" customFormat="false" ht="15" hidden="false" customHeight="false" outlineLevel="0" collapsed="false">
      <c r="A99" s="6" t="s">
        <v>184</v>
      </c>
      <c r="B99" s="18" t="n">
        <f aca="false">B54*B95*B18*1000000000/B81/1000000000</f>
        <v>0</v>
      </c>
      <c r="C99" s="8" t="s">
        <v>82</v>
      </c>
      <c r="D99" s="9" t="s">
        <v>185</v>
      </c>
    </row>
    <row r="100" customFormat="false" ht="15" hidden="false" customHeight="false" outlineLevel="0" collapsed="false">
      <c r="A100" s="6" t="s">
        <v>186</v>
      </c>
      <c r="B100" s="18" t="n">
        <f aca="false">B96+B97+B98+B99</f>
        <v>2.5</v>
      </c>
      <c r="C100" s="8" t="s">
        <v>82</v>
      </c>
      <c r="D100" s="9" t="s">
        <v>187</v>
      </c>
    </row>
    <row r="101" customFormat="false" ht="15" hidden="false" customHeight="false" outlineLevel="0" collapsed="false">
      <c r="A101" s="6" t="s">
        <v>188</v>
      </c>
      <c r="B101" s="24" t="str">
        <f aca="false">IF(B100&lt;=B40*0.85,"OK","OVER — add shard degree")</f>
        <v>OK</v>
      </c>
      <c r="C101" s="8"/>
      <c r="D101" s="9" t="s">
        <v>189</v>
      </c>
    </row>
    <row r="103" customFormat="false" ht="19.5" hidden="false" customHeight="true" outlineLevel="0" collapsed="false">
      <c r="A103" s="10" t="s">
        <v>190</v>
      </c>
      <c r="B103" s="10"/>
      <c r="C103" s="10"/>
      <c r="D103" s="10"/>
    </row>
    <row r="104" customFormat="false" ht="15" hidden="false" customHeight="false" outlineLevel="0" collapsed="false">
      <c r="A104" s="4" t="s">
        <v>3</v>
      </c>
      <c r="B104" s="5" t="s">
        <v>4</v>
      </c>
      <c r="C104" s="5" t="s">
        <v>5</v>
      </c>
      <c r="D104" s="4" t="s">
        <v>6</v>
      </c>
    </row>
    <row r="105" customFormat="false" ht="22.35" hidden="false" customHeight="false" outlineLevel="0" collapsed="false">
      <c r="A105" s="6" t="s">
        <v>191</v>
      </c>
      <c r="B105" s="19" t="n">
        <f aca="false">IF(B7="Colocated",B65+B84+B91,MAX(B65,B84)+B91)</f>
        <v>175.402666666667</v>
      </c>
      <c r="C105" s="8" t="s">
        <v>64</v>
      </c>
      <c r="D105" s="9" t="s">
        <v>192</v>
      </c>
    </row>
    <row r="106" customFormat="false" ht="15" hidden="false" customHeight="false" outlineLevel="0" collapsed="false">
      <c r="A106" s="6" t="s">
        <v>193</v>
      </c>
      <c r="B106" s="25" t="n">
        <f aca="false">IF((B65+B84)=0,0,B65/(B65+B84))</f>
        <v>0.757575757575758</v>
      </c>
      <c r="C106" s="8" t="s">
        <v>70</v>
      </c>
      <c r="D106" s="9" t="s">
        <v>194</v>
      </c>
    </row>
    <row r="107" customFormat="false" ht="15" hidden="false" customHeight="false" outlineLevel="0" collapsed="false">
      <c r="A107" s="6" t="s">
        <v>195</v>
      </c>
      <c r="B107" s="20" t="n">
        <f aca="false">IF(B84=0,0,B65/B84)</f>
        <v>3.125</v>
      </c>
      <c r="C107" s="8" t="s">
        <v>46</v>
      </c>
      <c r="D107" s="9" t="s">
        <v>196</v>
      </c>
    </row>
    <row r="108" customFormat="false" ht="15" hidden="false" customHeight="false" outlineLevel="0" collapsed="false">
      <c r="A108" s="6" t="s">
        <v>197</v>
      </c>
      <c r="B108" s="26" t="str">
        <f aca="false">IF(B52=0,"offline — no rollout pool",IF(B107&gt;1.5,"generation-bound — grow rollout or shrink train pool",IF(B107&lt;0.67,"train-bound — grow train or shrink rollout pool","balanced")))</f>
        <v>generation-bound — grow rollout or shrink train pool</v>
      </c>
      <c r="C108" s="8"/>
      <c r="D108" s="9" t="s">
        <v>198</v>
      </c>
    </row>
    <row r="109" customFormat="false" ht="15" hidden="false" customHeight="false" outlineLevel="0" collapsed="false">
      <c r="A109" s="6" t="s">
        <v>199</v>
      </c>
      <c r="B109" s="27" t="n">
        <f aca="false">IF(B7="Colocated",MAX(B61,B81),B61+B81)</f>
        <v>320</v>
      </c>
      <c r="C109" s="8" t="s">
        <v>77</v>
      </c>
      <c r="D109" s="9" t="s">
        <v>200</v>
      </c>
    </row>
    <row r="110" customFormat="false" ht="15" hidden="false" customHeight="false" outlineLevel="0" collapsed="false">
      <c r="A110" s="6" t="s">
        <v>201</v>
      </c>
      <c r="B110" s="18" t="n">
        <f aca="false">B105*B34/3600</f>
        <v>48.722962962963</v>
      </c>
      <c r="C110" s="8" t="s">
        <v>202</v>
      </c>
      <c r="D110" s="9" t="s">
        <v>203</v>
      </c>
    </row>
    <row r="111" customFormat="false" ht="15" hidden="false" customHeight="false" outlineLevel="0" collapsed="false">
      <c r="A111" s="6" t="s">
        <v>204</v>
      </c>
      <c r="B111" s="15" t="n">
        <f aca="false">B110*B109</f>
        <v>15591.3481481481</v>
      </c>
      <c r="C111" s="8" t="s">
        <v>204</v>
      </c>
      <c r="D111" s="9" t="s">
        <v>205</v>
      </c>
    </row>
    <row r="113" customFormat="false" ht="19.5" hidden="false" customHeight="true" outlineLevel="0" collapsed="false">
      <c r="A113" s="10" t="s">
        <v>206</v>
      </c>
      <c r="B113" s="10"/>
      <c r="C113" s="10"/>
      <c r="D113" s="10"/>
    </row>
    <row r="114" customFormat="false" ht="15" hidden="false" customHeight="false" outlineLevel="0" collapsed="false">
      <c r="A114" s="4" t="s">
        <v>3</v>
      </c>
      <c r="B114" s="5" t="s">
        <v>4</v>
      </c>
      <c r="C114" s="5" t="s">
        <v>5</v>
      </c>
      <c r="D114" s="4" t="s">
        <v>6</v>
      </c>
    </row>
    <row r="115" customFormat="false" ht="22.35" hidden="false" customHeight="false" outlineLevel="0" collapsed="false">
      <c r="A115" s="6" t="s">
        <v>207</v>
      </c>
      <c r="B115" s="20" t="n">
        <f aca="false">B15*1000000000*B95/1000000000/1000</f>
        <v>0.576</v>
      </c>
      <c r="C115" s="8" t="s">
        <v>208</v>
      </c>
      <c r="D115" s="9" t="s">
        <v>209</v>
      </c>
    </row>
    <row r="116" customFormat="false" ht="15" hidden="false" customHeight="false" outlineLevel="0" collapsed="false">
      <c r="A116" s="6" t="s">
        <v>210</v>
      </c>
      <c r="B116" s="18" t="n">
        <f aca="false">(B60+B75)*4/1000000000</f>
        <v>0.301989888</v>
      </c>
      <c r="C116" s="8" t="s">
        <v>82</v>
      </c>
      <c r="D116" s="9" t="s">
        <v>211</v>
      </c>
    </row>
    <row r="117" customFormat="false" ht="15" hidden="false" customHeight="false" outlineLevel="0" collapsed="false">
      <c r="A117" s="6" t="s">
        <v>212</v>
      </c>
      <c r="B117" s="11" t="n">
        <v>50</v>
      </c>
      <c r="C117" s="8" t="s">
        <v>73</v>
      </c>
      <c r="D117" s="9" t="s">
        <v>213</v>
      </c>
    </row>
    <row r="119" customFormat="false" ht="19.5" hidden="false" customHeight="true" outlineLevel="0" collapsed="false">
      <c r="A119" s="10" t="s">
        <v>214</v>
      </c>
      <c r="B119" s="10"/>
      <c r="C119" s="10"/>
      <c r="D119" s="10"/>
    </row>
    <row r="120" customFormat="false" ht="15" hidden="false" customHeight="false" outlineLevel="0" collapsed="false">
      <c r="A120" s="4" t="s">
        <v>3</v>
      </c>
      <c r="B120" s="5" t="s">
        <v>4</v>
      </c>
      <c r="C120" s="5" t="s">
        <v>5</v>
      </c>
      <c r="D120" s="4" t="s">
        <v>6</v>
      </c>
    </row>
    <row r="121" customFormat="false" ht="15" hidden="false" customHeight="false" outlineLevel="0" collapsed="false">
      <c r="A121" s="6" t="s">
        <v>215</v>
      </c>
      <c r="B121" s="20" t="n">
        <f aca="false">B61*B41/1000000*B48</f>
        <v>0.12544</v>
      </c>
      <c r="C121" s="8" t="s">
        <v>216</v>
      </c>
      <c r="D121" s="9" t="s">
        <v>217</v>
      </c>
    </row>
    <row r="122" customFormat="false" ht="15" hidden="false" customHeight="false" outlineLevel="0" collapsed="false">
      <c r="A122" s="6" t="s">
        <v>218</v>
      </c>
      <c r="B122" s="20" t="n">
        <f aca="false">B81*B41/1000000*B48</f>
        <v>0.50176</v>
      </c>
      <c r="C122" s="8" t="s">
        <v>216</v>
      </c>
      <c r="D122" s="9" t="s">
        <v>219</v>
      </c>
    </row>
    <row r="123" customFormat="false" ht="15" hidden="false" customHeight="false" outlineLevel="0" collapsed="false">
      <c r="A123" s="6" t="s">
        <v>220</v>
      </c>
      <c r="B123" s="28" t="n">
        <f aca="false">IF(B7="Colocated",MAX(B121,B122),B121+B122)</f>
        <v>0.6272</v>
      </c>
      <c r="C123" s="8" t="s">
        <v>216</v>
      </c>
      <c r="D123" s="9" t="s">
        <v>221</v>
      </c>
    </row>
    <row r="125" customFormat="false" ht="19.5" hidden="false" customHeight="true" outlineLevel="0" collapsed="false">
      <c r="A125" s="10" t="s">
        <v>222</v>
      </c>
      <c r="B125" s="10"/>
      <c r="C125" s="10"/>
      <c r="D125" s="10"/>
    </row>
    <row r="126" customFormat="false" ht="15" hidden="false" customHeight="false" outlineLevel="0" collapsed="false">
      <c r="A126" s="4" t="s">
        <v>3</v>
      </c>
      <c r="B126" s="5" t="s">
        <v>4</v>
      </c>
      <c r="C126" s="5" t="s">
        <v>5</v>
      </c>
      <c r="D126" s="4" t="s">
        <v>6</v>
      </c>
    </row>
    <row r="127" customFormat="false" ht="15" hidden="false" customHeight="false" outlineLevel="0" collapsed="false">
      <c r="A127" s="6" t="s">
        <v>223</v>
      </c>
      <c r="B127" s="26" t="str">
        <f aca="false">IF(B52=0,"Training (offline)",IF(B107&gt;1.2,"Rollout / generation",IF(B107&lt;0.83,"Training","Balanced")))</f>
        <v>Rollout / generation</v>
      </c>
      <c r="C127" s="8"/>
      <c r="D127" s="9" t="s">
        <v>224</v>
      </c>
    </row>
    <row r="128" customFormat="false" ht="15" hidden="false" customHeight="false" outlineLevel="0" collapsed="false">
      <c r="A128" s="6" t="s">
        <v>225</v>
      </c>
      <c r="B128" s="26" t="str">
        <f aca="false">IF(AND(B101="OK",B62&lt;=B38),"valid","FIX flagged rows")</f>
        <v>valid</v>
      </c>
      <c r="C128" s="8"/>
      <c r="D128" s="9" t="s">
        <v>226</v>
      </c>
    </row>
    <row r="129" customFormat="false" ht="22.35" hidden="false" customHeight="true" outlineLevel="0" collapsed="false">
      <c r="A129" s="6" t="s">
        <v>11</v>
      </c>
      <c r="B129" s="26" t="s">
        <v>227</v>
      </c>
      <c r="C129" s="29" t="s">
        <v>228</v>
      </c>
      <c r="D129" s="29"/>
    </row>
    <row r="130" customFormat="false" ht="22.35" hidden="false" customHeight="true" outlineLevel="0" collapsed="false">
      <c r="A130" s="6" t="s">
        <v>229</v>
      </c>
      <c r="B130" s="26" t="s">
        <v>230</v>
      </c>
      <c r="C130" s="29" t="s">
        <v>231</v>
      </c>
      <c r="D130" s="29"/>
    </row>
    <row r="131" customFormat="false" ht="22.35" hidden="false" customHeight="true" outlineLevel="0" collapsed="false">
      <c r="A131" s="6" t="s">
        <v>232</v>
      </c>
      <c r="B131" s="26" t="s">
        <v>233</v>
      </c>
      <c r="C131" s="29" t="s">
        <v>234</v>
      </c>
      <c r="D131" s="29"/>
    </row>
    <row r="132" customFormat="false" ht="22.35" hidden="false" customHeight="true" outlineLevel="0" collapsed="false">
      <c r="A132" s="6" t="s">
        <v>235</v>
      </c>
      <c r="B132" s="26" t="s">
        <v>236</v>
      </c>
      <c r="C132" s="29" t="s">
        <v>237</v>
      </c>
      <c r="D132" s="29"/>
    </row>
    <row r="133" customFormat="false" ht="15" hidden="false" customHeight="true" outlineLevel="0" collapsed="false">
      <c r="A133" s="6" t="s">
        <v>238</v>
      </c>
      <c r="B133" s="26" t="s">
        <v>239</v>
      </c>
      <c r="C133" s="29" t="s">
        <v>240</v>
      </c>
      <c r="D133" s="29"/>
    </row>
    <row r="134" customFormat="false" ht="22.35" hidden="false" customHeight="true" outlineLevel="0" collapsed="false">
      <c r="A134" s="6" t="s">
        <v>241</v>
      </c>
      <c r="B134" s="26" t="s">
        <v>242</v>
      </c>
      <c r="C134" s="29" t="s">
        <v>243</v>
      </c>
      <c r="D134" s="29"/>
    </row>
    <row r="135" customFormat="false" ht="22.35" hidden="false" customHeight="true" outlineLevel="0" collapsed="false">
      <c r="A135" s="6" t="s">
        <v>244</v>
      </c>
      <c r="B135" s="26" t="s">
        <v>245</v>
      </c>
      <c r="C135" s="29" t="s">
        <v>246</v>
      </c>
      <c r="D135" s="29"/>
    </row>
    <row r="137" customFormat="false" ht="19.5" hidden="false" customHeight="true" outlineLevel="0" collapsed="false">
      <c r="A137" s="10" t="s">
        <v>247</v>
      </c>
      <c r="B137" s="10"/>
      <c r="C137" s="10"/>
      <c r="D137" s="10"/>
    </row>
    <row r="138" customFormat="false" ht="27.75" hidden="false" customHeight="true" outlineLevel="0" collapsed="false">
      <c r="A138" s="30" t="s">
        <v>248</v>
      </c>
      <c r="B138" s="30"/>
      <c r="C138" s="30"/>
      <c r="D138" s="30"/>
    </row>
    <row r="139" customFormat="false" ht="27.75" hidden="false" customHeight="true" outlineLevel="0" collapsed="false">
      <c r="A139" s="30" t="s">
        <v>249</v>
      </c>
      <c r="B139" s="30"/>
      <c r="C139" s="30"/>
      <c r="D139" s="30"/>
    </row>
    <row r="140" customFormat="false" ht="27.75" hidden="false" customHeight="true" outlineLevel="0" collapsed="false">
      <c r="A140" s="31" t="s">
        <v>250</v>
      </c>
      <c r="B140" s="31"/>
      <c r="C140" s="31"/>
      <c r="D140" s="31"/>
    </row>
    <row r="141" customFormat="false" ht="27.75" hidden="false" customHeight="true" outlineLevel="0" collapsed="false">
      <c r="A141" s="31" t="s">
        <v>251</v>
      </c>
      <c r="B141" s="31"/>
      <c r="C141" s="31"/>
      <c r="D141" s="31"/>
    </row>
    <row r="142" customFormat="false" ht="27.75" hidden="false" customHeight="true" outlineLevel="0" collapsed="false">
      <c r="A142" s="31" t="s">
        <v>252</v>
      </c>
      <c r="B142" s="31"/>
      <c r="C142" s="31"/>
      <c r="D142" s="31"/>
    </row>
    <row r="143" customFormat="false" ht="27.75" hidden="false" customHeight="true" outlineLevel="0" collapsed="false">
      <c r="A143" s="31" t="s">
        <v>253</v>
      </c>
      <c r="B143" s="31"/>
      <c r="C143" s="31"/>
      <c r="D143" s="31"/>
    </row>
    <row r="144" customFormat="false" ht="27.75" hidden="false" customHeight="true" outlineLevel="0" collapsed="false">
      <c r="A144" s="31" t="s">
        <v>254</v>
      </c>
      <c r="B144" s="31"/>
      <c r="C144" s="31"/>
      <c r="D144" s="31"/>
    </row>
    <row r="145" customFormat="false" ht="27.75" hidden="false" customHeight="true" outlineLevel="0" collapsed="false">
      <c r="A145" s="31" t="s">
        <v>255</v>
      </c>
      <c r="B145" s="31"/>
      <c r="C145" s="31"/>
      <c r="D145" s="31"/>
    </row>
  </sheetData>
  <mergeCells count="31">
    <mergeCell ref="A1:D1"/>
    <mergeCell ref="A2:D2"/>
    <mergeCell ref="A4:D4"/>
    <mergeCell ref="A13:D13"/>
    <mergeCell ref="A24:D24"/>
    <mergeCell ref="A36:D36"/>
    <mergeCell ref="A50:D50"/>
    <mergeCell ref="A58:D58"/>
    <mergeCell ref="A73:D73"/>
    <mergeCell ref="A86:D86"/>
    <mergeCell ref="A93:D93"/>
    <mergeCell ref="A103:D103"/>
    <mergeCell ref="A113:D113"/>
    <mergeCell ref="A119:D119"/>
    <mergeCell ref="A125:D125"/>
    <mergeCell ref="C129:D129"/>
    <mergeCell ref="C130:D130"/>
    <mergeCell ref="C131:D131"/>
    <mergeCell ref="C132:D132"/>
    <mergeCell ref="C133:D133"/>
    <mergeCell ref="C134:D134"/>
    <mergeCell ref="C135:D135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</mergeCells>
  <dataValidations count="7">
    <dataValidation allowBlank="false" errorStyle="stop" operator="between" showDropDown="false" showErrorMessage="false" showInputMessage="false" sqref="B6" type="list">
      <formula1>"PPO,GRPO,RLOO,DPO,RFT"</formula1>
      <formula2>0</formula2>
    </dataValidation>
    <dataValidation allowBlank="false" errorStyle="stop" operator="between" showDropDown="false" showErrorMessage="false" showInputMessage="false" sqref="B7" type="list">
      <formula1>"Colocated,Disaggregated"</formula1>
      <formula2>0</formula2>
    </dataValidation>
    <dataValidation allowBlank="false" errorStyle="stop" operator="between" showDropDown="false" showErrorMessage="false" showInputMessage="false" sqref="B8" type="list">
      <formula1>"Rule-based,Model-based,Hybrid"</formula1>
      <formula2>0</formula2>
    </dataValidation>
    <dataValidation allowBlank="false" errorStyle="stop" operator="between" showDropDown="false" showErrorMessage="false" showInputMessage="false" sqref="B9" type="list">
      <formula1>"Single-turn,Agentic"</formula1>
      <formula2>0</formula2>
    </dataValidation>
    <dataValidation allowBlank="false" errorStyle="stop" operator="between" showDropDown="false" showErrorMessage="false" showInputMessage="false" sqref="B10" type="list">
      <formula1>"BF16,FP8"</formula1>
      <formula2>0</formula2>
    </dataValidation>
    <dataValidation allowBlank="false" errorStyle="stop" operator="between" showDropDown="false" showErrorMessage="false" showInputMessage="false" sqref="B11" type="list">
      <formula1>"DGX B300,GB300 NVL72"</formula1>
      <formula2>0</formula2>
    </dataValidation>
    <dataValidation allowBlank="false" errorStyle="stop" operator="between" showDropDown="false" showErrorMessage="false" showInputMessage="false" sqref="B19" type="list">
      <formula1>"AdamW,Muon"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2026-07-19T08:31:49Z</dcterms:created>
  <dc:creator>openpyxl</dc:creator>
  <dc:description/>
  <dc:language>en-US</dc:language>
  <cp:lastModifiedBy/>
  <dcterms:modified xsi:type="dcterms:W3CDTF">2026-07-19T08:31:49Z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