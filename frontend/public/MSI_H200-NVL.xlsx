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<sst xmlns="http://schemas.openxmlformats.org/spreadsheetml/2006/main" count="749" uniqueCount="345">
  <si>
    <t xml:space="preserve">MSI × NVIDIA H200 NVL — System Reference</t>
  </si>
  <si>
    <t xml:space="preserve">OEM system options for the Mid-range (HBM/NVLink)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</si>
  <si>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</si>
  <si>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</si>
  <si>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</si>
  <si>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</si>
  <si>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</si>
  <si>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H200 NVL</t>
  </si>
  <si>
    <t xml:space="preserve">[I]</t>
  </si>
  <si>
    <t xml:space="preserve">Tier</t>
  </si>
  <si>
    <t xml:space="preserve">Mid-range (HBM/NVLink)</t>
  </si>
  <si>
    <t xml:space="preserve">[D]</t>
  </si>
  <si>
    <t xml:space="preserve">System(s)</t>
  </si>
  <si>
    <t xml:space="preserve">CG480-S5063 · CG290-S3063</t>
  </si>
  <si>
    <t xml:space="preserve">Host socket / series</t>
  </si>
  <si>
    <t xml:space="preserve">CG480-S5063: LGA-4710 (Socket E2) (Xeon 6700E / 6500P / 6700P) · CG290-S3063: (single Xeon 6 - socket unverified) (Xeon 6 (1S))</t>
  </si>
  <si>
    <t xml:space="preserve">GPU silicon reference</t>
  </si>
  <si>
    <t xml:space="preserve">NVIDIA_H200-NVL_Reference.xlsx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</si>
  <si>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</si>
  <si>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</si>
  <si>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</si>
  <si>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</si>
  <si>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</si>
  <si>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</si>
  <si>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MSI's NVIDIA MGX RTX PRO Servers: CG480-S5063 (4U, 2× Xeon 6, 8 GPUs, 2-8-5-200) and CG290-S3063 (2U, 1× Xeon 6, 4 GPUs, 1-4-3). The CG480 has the most published detail on power and environment among the MGX builds.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</si>
  <si>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</si>
  <si>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</si>
  <si>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</si>
  <si>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</si>
  <si>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</si>
  <si>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CG480 · 8× H200 NVL · 4× 3200 W (3+1)</t>
  </si>
  <si>
    <t xml:space="preserve">CG290 · 4× H200 NVL · PSU unpublished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</si>
  <si>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</si>
  <si>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</si>
  <si>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</si>
  <si>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</si>
  <si>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</si>
  <si>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</si>
  <si>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</si>
  <si>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</si>
  <si>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</si>
  <si>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</si>
  <si>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</si>
  <si>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</si>
  <si>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</si>
  <si>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</si>
  <si>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</si>
  <si>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</si>
  <si>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</si>
  <si>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</si>
  <si>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</si>
  <si>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</si>
  <si>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</si>
  <si>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</si>
  <si>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</si>
  <si>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CG480-S5063  (MSI)</t>
  </si>
  <si>
    <t xml:space="preserve">System</t>
  </si>
  <si>
    <t xml:space="preserve">Section</t>
  </si>
  <si>
    <t xml:space="preserve">Parameter</t>
  </si>
  <si>
    <t xml:space="preserve">Src</t>
  </si>
  <si>
    <t xml:space="preserve">CG480-S5063</t>
  </si>
  <si>
    <t xml:space="preserve">Identity</t>
  </si>
  <si>
    <t xml:space="preserve">Model</t>
  </si>
  <si>
    <t xml:space="preserve">MSI CG480-S5063 (S5063G480RAE20), board MS-S405; NVIDIA-Certified</t>
  </si>
  <si>
    <t xml:space="preserve">M2, M5</t>
  </si>
  <si>
    <t xml:space="preserve">Form factor</t>
  </si>
  <si>
    <t xml:space="preserve">4U, NVIDIA MGX modular architecture</t>
  </si>
  <si>
    <t xml:space="preserve">M1</t>
  </si>
  <si>
    <t xml:space="preserve">Processor</t>
  </si>
  <si>
    <t xml:space="preserve">CPU</t>
  </si>
  <si>
    <t xml:space="preserve">Dual Intel Xeon 6700E / 6500P / 6700P, TDP ≤350 W; 2 air-cooling modules</t>
  </si>
  <si>
    <t xml:space="preserve">M1, M5</t>
  </si>
  <si>
    <t xml:space="preserve">Memory</t>
  </si>
  <si>
    <t xml:space="preserve">Slots / speed</t>
  </si>
  <si>
    <t xml:space="preserve">32 DDR5 RDIMM/MRDIMM, 8 ch per CPU (2 DPC); 6400 MT/s 1 DPC, 5200 MT/s 2 DPC; up to 8 TB</t>
  </si>
  <si>
    <t xml:space="preserve">M3, M5</t>
  </si>
  <si>
    <t xml:space="preserve">Capacity</t>
  </si>
  <si>
    <t xml:space="preserve">Up to 8 double-wide PCIe GPUs ≤600 W: RTX PRO 6000 BSE or H200 NVL</t>
  </si>
  <si>
    <t xml:space="preserve">Topology</t>
  </si>
  <si>
    <t xml:space="preserve">2-8-5-200 CPU:GPU:NIC; PCIe switch board</t>
  </si>
  <si>
    <t xml:space="preserve">Expansion</t>
  </si>
  <si>
    <t xml:space="preserve">Slots</t>
  </si>
  <si>
    <t xml:space="preserve">Up to 13 PCIe 5.0 x16</t>
  </si>
  <si>
    <t xml:space="preserve">M2</t>
  </si>
  <si>
    <t xml:space="preserve">Storage</t>
  </si>
  <si>
    <t xml:space="preserve">Bays</t>
  </si>
  <si>
    <t xml:space="preserve">20× hot-swap E1.S PCIe 5.0 x4 NVMe</t>
  </si>
  <si>
    <t xml:space="preserve">Network</t>
  </si>
  <si>
    <t xml:space="preserve">LAN</t>
  </si>
  <si>
    <t xml:space="preserve">2× 10GBase-T (Intel X710-AT2, NCSI) + 1× 1GbE BMC</t>
  </si>
  <si>
    <t xml:space="preserve">Power</t>
  </si>
  <si>
    <t xml:space="preserve">PSUs</t>
  </si>
  <si>
    <t xml:space="preserve">(3+1) redundant 3200 W CRPS, 80 PLUS Titanium</t>
  </si>
  <si>
    <t xml:space="preserve">Cooling</t>
  </si>
  <si>
    <t xml:space="preserve">Fans</t>
  </si>
  <si>
    <t xml:space="preserve">10× 8080 hot-swap (5 upper for GPU, 5 lower for CPU)</t>
  </si>
  <si>
    <t xml:space="preserve">Environment</t>
  </si>
  <si>
    <t xml:space="preserve">Temperature</t>
  </si>
  <si>
    <t xml:space="preserve">Operating 0-35 °C; non-operating -20 to 70 °C; 5-85% RH non-condensing</t>
  </si>
  <si>
    <t xml:space="preserve">Management</t>
  </si>
  <si>
    <t xml:space="preserve">BMC</t>
  </si>
  <si>
    <t xml:space="preserve">ASPEED AST2600, IPMI 2.0, Redfish; dual BIOS &amp; BMC; TPM 2.0; optional hardware RoT</t>
  </si>
  <si>
    <t xml:space="preserve">Regulatory</t>
  </si>
  <si>
    <t xml:space="preserve">Certs</t>
  </si>
  <si>
    <t xml:space="preserve">FCC Class A, CE</t>
  </si>
  <si>
    <t xml:space="preserve">This workbook</t>
  </si>
  <si>
    <t xml:space="preserve">GPU population</t>
  </si>
  <si>
    <t xml:space="preserve">NVIDIA H200 NVL — max per chassis per GPU config rows above; power scenarios on 4_Power_Budget</t>
  </si>
  <si>
    <t xml:space="preserve">CG290-S3063  (MSI)</t>
  </si>
  <si>
    <t xml:space="preserve">CG290-S3063</t>
  </si>
  <si>
    <t xml:space="preserve">MSI CG290-S3063</t>
  </si>
  <si>
    <t xml:space="preserve">M3</t>
  </si>
  <si>
    <t xml:space="preserve">2U, NVIDIA MGX</t>
  </si>
  <si>
    <t xml:space="preserve">Single Intel Xeon 6</t>
  </si>
  <si>
    <t xml:space="preserve">Up to 16 DDR5 DIMM</t>
  </si>
  <si>
    <t xml:space="preserve">Four FHFL double-wide GPUs (RTX PRO 6000 BSE / H200 NVL); 1-4-3 topology; up to 8 PCIe 5.0 x16 slots</t>
  </si>
  <si>
    <t xml:space="preserve">M3, M4</t>
  </si>
  <si>
    <t xml:space="preserve">4× rear PCIe 5.0 U.2 NVMe + 2× M.2</t>
  </si>
  <si>
    <t xml:space="preserve">Not captured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</si>
  <si>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</si>
  <si>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</si>
  <si>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</si>
  <si>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</si>
  <si>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</si>
  <si>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</si>
  <si>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</si>
  <si>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</si>
  <si>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3200 W CRPS Titanium PSU</t>
  </si>
  <si>
    <t xml:space="preserve">3+1</t>
  </si>
  <si>
    <t xml:space="preserve">8080 hot-swap fan</t>
  </si>
  <si>
    <t xml:space="preserve">E1.S PCIe 5.0 x4 NVMe bay</t>
  </si>
  <si>
    <t xml:space="preserve">M5</t>
  </si>
  <si>
    <t xml:space="preserve">Board</t>
  </si>
  <si>
    <t xml:space="preserve">PCIe switch board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</si>
  <si>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</si>
  <si>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</si>
  <si>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</si>
  <si>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(3+1) redundant 3200 W CRPS Titanium → 9.6 kW redundant output</t>
  </si>
  <si>
    <t xml:space="preserve">Operating temperature 0-35 °C</t>
  </si>
  <si>
    <t xml:space="preserve">PSU configuration not captured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</si>
  <si>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</si>
  <si>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</si>
  <si>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</si>
  <si>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</si>
  <si>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</si>
  <si>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</si>
  <si>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</si>
  <si>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</si>
  <si>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</si>
  <si>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</si>
  <si>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</si>
  <si>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</si>
  <si>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</si>
  <si>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</si>
  <si>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</si>
  <si>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</si>
  <si>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</si>
  <si>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</si>
  <si>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</si>
  <si>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</si>
  <si>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</si>
  <si>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</si>
  <si>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</si>
  <si>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</si>
  <si>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</si>
  <si>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</si>
  <si>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</si>
  <si>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</si>
  <si>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</si>
  <si>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</si>
  <si>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</si>
  <si>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</si>
  <si>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</si>
  <si>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</si>
  <si>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</si>
  <si>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</si>
  <si>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</si>
  <si>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</si>
  <si>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[I] / [U]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</si>
  <si>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</si>
  <si>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</si>
  <si>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</si>
  <si>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</si>
  <si>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</si>
  <si>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</si>
  <si>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</si>
  <si>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</si>
  <si>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</si>
  <si>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</si>
  <si>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</si>
  <si>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</si>
  <si>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</si>
  <si>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</si>
  <si>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</si>
  <si>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</si>
  <si>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</si>
  <si>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</si>
  <si>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</si>
  <si>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</si>
  <si>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</si>
  <si>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</si>
  <si>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</si>
  <si>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</si>
  <si>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</si>
  <si>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</si>
  <si>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</si>
  <si>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</si>
  <si>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</si>
  <si>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</si>
  <si>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</si>
  <si>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</si>
  <si>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</si>
  <si>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</si>
  <si>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</si>
  <si>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</si>
  <si>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</si>
  <si>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</si>
  <si>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</si>
  <si>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</si>
  <si>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</si>
  <si>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</si>
  <si>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</si>
  <si>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</si>
  <si>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</si>
  <si>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</si>
  <si>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</si>
  <si>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</si>
  <si>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</si>
  <si>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</si>
  <si>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</si>
  <si>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</si>
  <si>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</si>
  <si>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</si>
  <si>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</si>
  <si>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</si>
  <si>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</si>
  <si>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</si>
  <si>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</si>
  <si>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</si>
  <si>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</si>
  <si>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</si>
  <si>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</si>
  <si>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</si>
  <si>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</si>
  <si>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</si>
  <si>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</si>
  <si>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</si>
  <si>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CG480-S5063 — socket LGA-4710 (Socket E2); series Xeon 6700E / 6500P / 6700P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</si>
  <si>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</si>
  <si>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</si>
  <si>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</si>
  <si>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</si>
  <si>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</si>
  <si>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</si>
  <si>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</si>
  <si>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</si>
  <si>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</si>
  <si>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</si>
  <si>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</si>
  <si>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</si>
  <si>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</si>
  <si>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</si>
  <si>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</si>
  <si>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</si>
  <si>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</si>
  <si>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</si>
  <si>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</si>
  <si>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</si>
  <si>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</si>
  <si>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</si>
  <si>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</si>
  <si>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</si>
  <si>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</si>
  <si>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</si>
  <si>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</si>
  <si>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</si>
  <si>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</si>
  <si>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</si>
  <si>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</si>
  <si>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</si>
  <si>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</si>
  <si>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CG290-S3063 — socket (single Xeon 6 - socket unverified); series Xeon 6 (1S)</t>
  </si>
  <si>
    <t xml:space="preserve">Socket unverified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</si>
  <si>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</si>
  <si>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</si>
  <si>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</si>
  <si>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</si>
  <si>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</si>
  <si>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</si>
  <si>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CG290-S3063 PSU and socket</t>
  </si>
  <si>
    <t xml:space="preserve">Cannot close the 2U power budget</t>
  </si>
  <si>
    <t xml:space="preserve">MSI CG290-S3063 spec sheet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</si>
  <si>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</si>
  <si>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</si>
  <si>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</si>
  <si>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</si>
  <si>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</si>
  <si>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</si>
  <si>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</si>
  <si>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</si>
  <si>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</si>
  <si>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</si>
  <si>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</si>
  <si>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MSI - CG480-S5063 specification sheet (Version D, 14 Jul 2026)</t>
  </si>
  <si>
    <t xml:space="preserve">https://download-2.msi.com/archive/mnu_exe/server/CG480-S5063-Version-D07142026.pdf</t>
  </si>
  <si>
    <t xml:space="preserve">MSI - CG480-S5063 product page</t>
  </si>
  <si>
    <t xml:space="preserve">https://eps.msi.com/en/product/barebones/S5063G480RAE20</t>
  </si>
  <si>
    <t xml:space="preserve">MSI - RTX PRO Server lineup press release (26 Aug 2025)</t>
  </si>
  <si>
    <t xml:space="preserve">https://www.msi.com/news/detail/MSI-Expands-NVIDIA-RTX-PRO-Server-Lineup---Accelerated-by-RTX-PRO-6000-Blackwell-Server-Edition-GPU-146930</t>
  </si>
  <si>
    <t xml:space="preserve">M4</t>
  </si>
  <si>
    <t xml:space="preserve">MSI - NVIDIA MGX landing page</t>
  </si>
  <si>
    <t xml:space="preserve">https://www.msi.com/Landing/NVIDIA-MGX</t>
  </si>
  <si>
    <t xml:space="preserve">MSI - CG480-S5063 Quick Start Guide</t>
  </si>
  <si>
    <t xml:space="preserve">https://download-2.msi.com/archive/mnu_exe/server/S405-CG480-S5063-v1.0-QG.pdf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</si>
  <si>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</si>
  <si>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</si>
  <si>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</si>
  <si>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</si>
  <si>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</si>
  <si>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MSI_H200-NVL.xlsx</t>
  </si>
  <si>
    <t xml:space="preserve">  oem: MSI</t>
  </si>
  <si>
    <t xml:space="preserve">  gpu: H200-NVL</t>
  </si>
  <si>
    <t xml:space="preserve">  tier: "Mid-range (HBM/NVLink)"</t>
  </si>
  <si>
    <t xml:space="preserve">  chassis:</t>
  </si>
  <si>
    <t xml:space="preserve">    - model: "CG480-S5063"</t>
  </si>
  <si>
    <t xml:space="preserve">      rack_units: 4</t>
  </si>
  <si>
    <t xml:space="preserve">      cpu_socket: "LGA-4710 (Socket E2)"</t>
  </si>
  <si>
    <t xml:space="preserve">    - model: "CG290-S3063"</t>
  </si>
  <si>
    <t xml:space="preserve">      rack_units: 2</t>
  </si>
  <si>
    <t xml:space="preserve">      cpu_socket: "(single Xeon 6 - socket unverified)"</t>
  </si>
  <si>
    <t xml:space="preserve">  power_scenarios:   # inputs only; outputs live in 4_Power_Budget</t>
  </si>
  <si>
    <t xml:space="preserve">    - name: "CG480 · 8× H200 NVL · 4× 3200 W (3+1)"</t>
  </si>
  <si>
    <t xml:space="preserve">      system: "CG480-S5063"</t>
  </si>
  <si>
    <t xml:space="preserve">      gpus: 8</t>
  </si>
  <si>
    <t xml:space="preserve">      gpu_w: 600</t>
  </si>
  <si>
    <t xml:space="preserve">      cpu: {count: 2, tdp_w: 350}</t>
  </si>
  <si>
    <t xml:space="preserve">      psu: {rating_w: 3200, installed: 4, redundant: 1}</t>
  </si>
  <si>
    <t xml:space="preserve">      assumptions_u: {dimm_w: 10, drive_w: 20, nic_w: 25, baseboard_w: 250, fan_pct: 0.08, psu_eff: 0.95}</t>
  </si>
  <si>
    <t xml:space="preserve">    - name: "CG290 · 4× H200 NVL · PSU unpublished"</t>
  </si>
  <si>
    <t xml:space="preserve">      system: "CG290-S3063"</t>
  </si>
  <si>
    <t xml:space="preserve">      gpus: 4</t>
  </si>
  <si>
    <t xml:space="preserve">      cpu: {count: 1, tdp_w: 350}</t>
  </si>
  <si>
    <t xml:space="preserve">      psu: {rating_w: 0, installed: 0, redundant: 0}</t>
  </si>
  <si>
    <t xml:space="preserve">      assumptions_u: {dimm_w: 10, drive_w: 25, nic_w: 25, baseboard_w: 150, fan_pct: 0.08,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</si>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</sst>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23.8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6863.4</v>
      </c>
      <c r="C18" s="11" t="n">
        <f aca="false">4_Power_Budget!C42</f>
        <v>9600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3511.08</v>
      </c>
      <c r="C19" s="11" t="str">
        <f aca="false">4_Power_Budget!D42</f>
        <v>n/a</v>
      </c>
      <c r="D19" s="4" t="str">
        <f aca="false">4_Power_Budget!D45</f>
        <v>PSU data not published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60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60</v>
      </c>
      <c r="B7" s="4" t="s">
        <v>61</v>
      </c>
      <c r="C7" s="4" t="s">
        <v>65</v>
      </c>
      <c r="D7" s="4" t="s">
        <v>66</v>
      </c>
      <c r="E7" s="5" t="s">
        <v>8</v>
      </c>
      <c r="F7" s="4" t="s">
        <v>67</v>
      </c>
    </row>
    <row r="8" customFormat="false" ht="15" hidden="false" customHeight="false" outlineLevel="0" collapsed="false">
      <c r="A8" s="4" t="s">
        <v>60</v>
      </c>
      <c r="B8" s="4" t="s">
        <v>68</v>
      </c>
      <c r="C8" s="4" t="s">
        <v>69</v>
      </c>
      <c r="D8" s="4" t="s">
        <v>70</v>
      </c>
      <c r="E8" s="5" t="s">
        <v>8</v>
      </c>
      <c r="F8" s="4" t="s">
        <v>71</v>
      </c>
    </row>
    <row r="9" customFormat="false" ht="15" hidden="false" customHeight="false" outlineLevel="0" collapsed="false">
      <c r="A9" s="4" t="s">
        <v>60</v>
      </c>
      <c r="B9" s="4" t="s">
        <v>72</v>
      </c>
      <c r="C9" s="4" t="s">
        <v>73</v>
      </c>
      <c r="D9" s="4" t="s">
        <v>74</v>
      </c>
      <c r="E9" s="5" t="s">
        <v>8</v>
      </c>
      <c r="F9" s="4" t="s">
        <v>75</v>
      </c>
    </row>
    <row r="10" customFormat="false" ht="15" hidden="false" customHeight="false" outlineLevel="0" collapsed="false">
      <c r="A10" s="4" t="s">
        <v>60</v>
      </c>
      <c r="B10" s="4" t="s">
        <v>6</v>
      </c>
      <c r="C10" s="4" t="s">
        <v>76</v>
      </c>
      <c r="D10" s="4" t="s">
        <v>77</v>
      </c>
      <c r="E10" s="5" t="s">
        <v>8</v>
      </c>
      <c r="F10" s="4" t="s">
        <v>64</v>
      </c>
    </row>
    <row r="11" customFormat="false" ht="15" hidden="false" customHeight="false" outlineLevel="0" collapsed="false">
      <c r="A11" s="4" t="s">
        <v>60</v>
      </c>
      <c r="B11" s="4" t="s">
        <v>6</v>
      </c>
      <c r="C11" s="4" t="s">
        <v>78</v>
      </c>
      <c r="D11" s="4" t="s">
        <v>79</v>
      </c>
      <c r="E11" s="5" t="s">
        <v>8</v>
      </c>
      <c r="F11" s="4" t="s">
        <v>75</v>
      </c>
    </row>
    <row r="12" customFormat="false" ht="15" hidden="false" customHeight="false" outlineLevel="0" collapsed="false">
      <c r="A12" s="4" t="s">
        <v>60</v>
      </c>
      <c r="B12" s="4" t="s">
        <v>80</v>
      </c>
      <c r="C12" s="4" t="s">
        <v>81</v>
      </c>
      <c r="D12" s="4" t="s">
        <v>82</v>
      </c>
      <c r="E12" s="5" t="s">
        <v>8</v>
      </c>
      <c r="F12" s="4" t="s">
        <v>83</v>
      </c>
    </row>
    <row r="13" customFormat="false" ht="15" hidden="false" customHeight="false" outlineLevel="0" collapsed="false">
      <c r="A13" s="4" t="s">
        <v>60</v>
      </c>
      <c r="B13" s="4" t="s">
        <v>84</v>
      </c>
      <c r="C13" s="4" t="s">
        <v>85</v>
      </c>
      <c r="D13" s="4" t="s">
        <v>86</v>
      </c>
      <c r="E13" s="5" t="s">
        <v>8</v>
      </c>
      <c r="F13" s="4" t="s">
        <v>75</v>
      </c>
    </row>
    <row r="14" customFormat="false" ht="15" hidden="false" customHeight="false" outlineLevel="0" collapsed="false">
      <c r="A14" s="4" t="s">
        <v>60</v>
      </c>
      <c r="B14" s="4" t="s">
        <v>87</v>
      </c>
      <c r="C14" s="4" t="s">
        <v>88</v>
      </c>
      <c r="D14" s="4" t="s">
        <v>89</v>
      </c>
      <c r="E14" s="5" t="s">
        <v>8</v>
      </c>
      <c r="F14" s="4" t="s">
        <v>83</v>
      </c>
    </row>
    <row r="15" customFormat="false" ht="15" hidden="false" customHeight="false" outlineLevel="0" collapsed="false">
      <c r="A15" s="4" t="s">
        <v>60</v>
      </c>
      <c r="B15" s="4" t="s">
        <v>90</v>
      </c>
      <c r="C15" s="4" t="s">
        <v>91</v>
      </c>
      <c r="D15" s="4" t="s">
        <v>92</v>
      </c>
      <c r="E15" s="5" t="s">
        <v>8</v>
      </c>
      <c r="F15" s="4" t="s">
        <v>67</v>
      </c>
    </row>
    <row r="16" customFormat="false" ht="15" hidden="false" customHeight="false" outlineLevel="0" collapsed="false">
      <c r="A16" s="4" t="s">
        <v>60</v>
      </c>
      <c r="B16" s="4" t="s">
        <v>93</v>
      </c>
      <c r="C16" s="4" t="s">
        <v>94</v>
      </c>
      <c r="D16" s="4" t="s">
        <v>95</v>
      </c>
      <c r="E16" s="5" t="s">
        <v>8</v>
      </c>
      <c r="F16" s="4" t="s">
        <v>71</v>
      </c>
    </row>
    <row r="17" customFormat="false" ht="15" hidden="false" customHeight="false" outlineLevel="0" collapsed="false">
      <c r="A17" s="4" t="s">
        <v>60</v>
      </c>
      <c r="B17" s="4" t="s">
        <v>96</v>
      </c>
      <c r="C17" s="4" t="s">
        <v>97</v>
      </c>
      <c r="D17" s="4" t="s">
        <v>98</v>
      </c>
      <c r="E17" s="5" t="s">
        <v>8</v>
      </c>
      <c r="F17" s="4" t="s">
        <v>67</v>
      </c>
    </row>
    <row r="18" customFormat="false" ht="15" hidden="false" customHeight="false" outlineLevel="0" collapsed="false">
      <c r="A18" s="4" t="s">
        <v>60</v>
      </c>
      <c r="B18" s="4" t="s">
        <v>99</v>
      </c>
      <c r="C18" s="4" t="s">
        <v>100</v>
      </c>
      <c r="D18" s="4" t="s">
        <v>101</v>
      </c>
      <c r="E18" s="5" t="s">
        <v>8</v>
      </c>
      <c r="F18" s="4" t="s">
        <v>83</v>
      </c>
    </row>
    <row r="19" customFormat="false" ht="15" hidden="false" customHeight="false" outlineLevel="0" collapsed="false">
      <c r="A19" s="4" t="s">
        <v>60</v>
      </c>
      <c r="B19" s="4" t="s">
        <v>102</v>
      </c>
      <c r="C19" s="4" t="s">
        <v>103</v>
      </c>
      <c r="D19" s="4" t="s">
        <v>104</v>
      </c>
      <c r="E19" s="5" t="s">
        <v>8</v>
      </c>
      <c r="F19" s="4" t="s">
        <v>67</v>
      </c>
    </row>
    <row r="20" customFormat="false" ht="15" hidden="false" customHeight="false" outlineLevel="0" collapsed="false">
      <c r="A20" s="4" t="s">
        <v>60</v>
      </c>
      <c r="B20" s="4" t="s">
        <v>105</v>
      </c>
      <c r="C20" s="4" t="s">
        <v>106</v>
      </c>
      <c r="D20" s="4" t="s">
        <v>107</v>
      </c>
      <c r="E20" s="6" t="s">
        <v>11</v>
      </c>
      <c r="F20" s="4"/>
    </row>
    <row r="22" customFormat="false" ht="15" hidden="false" customHeight="false" outlineLevel="0" collapsed="false">
      <c r="A22" s="9" t="s">
        <v>108</v>
      </c>
      <c r="B22" s="10"/>
      <c r="C22" s="10"/>
      <c r="D22" s="10"/>
      <c r="E22" s="10"/>
      <c r="F22" s="10"/>
    </row>
    <row r="23" customFormat="false" ht="15" hidden="false" customHeight="false" outlineLevel="0" collapsed="false">
      <c r="A23" s="3" t="s">
        <v>56</v>
      </c>
      <c r="B23" s="3" t="s">
        <v>57</v>
      </c>
      <c r="C23" s="3" t="s">
        <v>58</v>
      </c>
      <c r="D23" s="3" t="s">
        <v>3</v>
      </c>
      <c r="E23" s="3" t="s">
        <v>4</v>
      </c>
      <c r="F23" s="3" t="s">
        <v>59</v>
      </c>
    </row>
    <row r="24" customFormat="false" ht="15" hidden="false" customHeight="false" outlineLevel="0" collapsed="false">
      <c r="A24" s="4" t="s">
        <v>109</v>
      </c>
      <c r="B24" s="4" t="s">
        <v>61</v>
      </c>
      <c r="C24" s="4" t="s">
        <v>62</v>
      </c>
      <c r="D24" s="4" t="s">
        <v>110</v>
      </c>
      <c r="E24" s="5" t="s">
        <v>8</v>
      </c>
      <c r="F24" s="4" t="s">
        <v>111</v>
      </c>
    </row>
    <row r="25" customFormat="false" ht="15" hidden="false" customHeight="false" outlineLevel="0" collapsed="false">
      <c r="A25" s="4" t="s">
        <v>109</v>
      </c>
      <c r="B25" s="4" t="s">
        <v>61</v>
      </c>
      <c r="C25" s="4" t="s">
        <v>65</v>
      </c>
      <c r="D25" s="4" t="s">
        <v>112</v>
      </c>
      <c r="E25" s="5" t="s">
        <v>8</v>
      </c>
      <c r="F25" s="4" t="s">
        <v>111</v>
      </c>
    </row>
    <row r="26" customFormat="false" ht="15" hidden="false" customHeight="false" outlineLevel="0" collapsed="false">
      <c r="A26" s="4" t="s">
        <v>109</v>
      </c>
      <c r="B26" s="4" t="s">
        <v>68</v>
      </c>
      <c r="C26" s="4" t="s">
        <v>69</v>
      </c>
      <c r="D26" s="4" t="s">
        <v>113</v>
      </c>
      <c r="E26" s="5" t="s">
        <v>8</v>
      </c>
      <c r="F26" s="4" t="s">
        <v>111</v>
      </c>
    </row>
    <row r="27" customFormat="false" ht="15" hidden="false" customHeight="false" outlineLevel="0" collapsed="false">
      <c r="A27" s="4" t="s">
        <v>109</v>
      </c>
      <c r="B27" s="4" t="s">
        <v>72</v>
      </c>
      <c r="C27" s="4" t="s">
        <v>81</v>
      </c>
      <c r="D27" s="4" t="s">
        <v>114</v>
      </c>
      <c r="E27" s="5" t="s">
        <v>8</v>
      </c>
      <c r="F27" s="4" t="s">
        <v>111</v>
      </c>
    </row>
    <row r="28" customFormat="false" ht="15" hidden="false" customHeight="false" outlineLevel="0" collapsed="false">
      <c r="A28" s="4" t="s">
        <v>109</v>
      </c>
      <c r="B28" s="4" t="s">
        <v>6</v>
      </c>
      <c r="C28" s="4" t="s">
        <v>76</v>
      </c>
      <c r="D28" s="4" t="s">
        <v>115</v>
      </c>
      <c r="E28" s="5" t="s">
        <v>8</v>
      </c>
      <c r="F28" s="4" t="s">
        <v>116</v>
      </c>
    </row>
    <row r="29" customFormat="false" ht="15" hidden="false" customHeight="false" outlineLevel="0" collapsed="false">
      <c r="A29" s="4" t="s">
        <v>109</v>
      </c>
      <c r="B29" s="4" t="s">
        <v>84</v>
      </c>
      <c r="C29" s="4" t="s">
        <v>85</v>
      </c>
      <c r="D29" s="4" t="s">
        <v>117</v>
      </c>
      <c r="E29" s="5" t="s">
        <v>8</v>
      </c>
      <c r="F29" s="4" t="s">
        <v>111</v>
      </c>
    </row>
    <row r="30" customFormat="false" ht="15" hidden="false" customHeight="false" outlineLevel="0" collapsed="false">
      <c r="A30" s="4" t="s">
        <v>109</v>
      </c>
      <c r="B30" s="4" t="s">
        <v>90</v>
      </c>
      <c r="C30" s="4" t="s">
        <v>91</v>
      </c>
      <c r="D30" s="4" t="s">
        <v>118</v>
      </c>
      <c r="E30" s="13" t="s">
        <v>46</v>
      </c>
      <c r="F30" s="4"/>
    </row>
    <row r="31" customFormat="false" ht="15" hidden="false" customHeight="false" outlineLevel="0" collapsed="false">
      <c r="A31" s="4" t="s">
        <v>109</v>
      </c>
      <c r="B31" s="4" t="s">
        <v>105</v>
      </c>
      <c r="C31" s="4" t="s">
        <v>106</v>
      </c>
      <c r="D31" s="4" t="s">
        <v>107</v>
      </c>
      <c r="E31" s="6" t="s">
        <v>11</v>
      </c>
      <c r="F31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" t="s">
        <v>56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4</v>
      </c>
      <c r="H4" s="3" t="s">
        <v>59</v>
      </c>
      <c r="I4" s="3" t="s">
        <v>126</v>
      </c>
    </row>
    <row r="5" customFormat="false" ht="15" hidden="false" customHeight="false" outlineLevel="0" collapsed="false">
      <c r="A5" s="4" t="s">
        <v>60</v>
      </c>
      <c r="B5" s="4" t="s">
        <v>90</v>
      </c>
      <c r="C5" s="4" t="s">
        <v>127</v>
      </c>
      <c r="D5" s="4"/>
      <c r="E5" s="4" t="n">
        <v>4</v>
      </c>
      <c r="F5" s="4" t="s">
        <v>128</v>
      </c>
      <c r="G5" s="5" t="s">
        <v>8</v>
      </c>
      <c r="H5" s="4" t="s">
        <v>67</v>
      </c>
      <c r="I5" s="4"/>
    </row>
    <row r="6" customFormat="false" ht="15" hidden="false" customHeight="false" outlineLevel="0" collapsed="false">
      <c r="A6" s="4" t="s">
        <v>60</v>
      </c>
      <c r="B6" s="4" t="s">
        <v>93</v>
      </c>
      <c r="C6" s="4" t="s">
        <v>129</v>
      </c>
      <c r="D6" s="4"/>
      <c r="E6" s="4" t="n">
        <v>10</v>
      </c>
      <c r="F6" s="4"/>
      <c r="G6" s="5" t="s">
        <v>8</v>
      </c>
      <c r="H6" s="4" t="s">
        <v>67</v>
      </c>
      <c r="I6" s="4"/>
    </row>
    <row r="7" customFormat="false" ht="15" hidden="false" customHeight="false" outlineLevel="0" collapsed="false">
      <c r="A7" s="4" t="s">
        <v>60</v>
      </c>
      <c r="B7" s="4" t="s">
        <v>84</v>
      </c>
      <c r="C7" s="4" t="s">
        <v>130</v>
      </c>
      <c r="D7" s="4"/>
      <c r="E7" s="4" t="n">
        <v>20</v>
      </c>
      <c r="F7" s="4"/>
      <c r="G7" s="5" t="s">
        <v>8</v>
      </c>
      <c r="H7" s="4" t="s">
        <v>131</v>
      </c>
      <c r="I7" s="4"/>
    </row>
    <row r="8" customFormat="false" ht="15" hidden="false" customHeight="false" outlineLevel="0" collapsed="false">
      <c r="A8" s="4" t="s">
        <v>60</v>
      </c>
      <c r="B8" s="4" t="s">
        <v>132</v>
      </c>
      <c r="C8" s="4" t="s">
        <v>133</v>
      </c>
      <c r="D8" s="4"/>
      <c r="E8" s="4" t="n">
        <v>1</v>
      </c>
      <c r="F8" s="4"/>
      <c r="G8" s="5" t="s">
        <v>8</v>
      </c>
      <c r="H8" s="4" t="s">
        <v>131</v>
      </c>
      <c r="I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" t="s">
        <v>56</v>
      </c>
      <c r="B4" s="3" t="s">
        <v>136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60</v>
      </c>
      <c r="B5" s="4" t="s">
        <v>137</v>
      </c>
      <c r="C5" s="5" t="s">
        <v>8</v>
      </c>
      <c r="D5" s="4" t="s">
        <v>67</v>
      </c>
    </row>
    <row r="6" customFormat="false" ht="15" hidden="false" customHeight="false" outlineLevel="0" collapsed="false">
      <c r="A6" s="4" t="s">
        <v>60</v>
      </c>
      <c r="B6" s="4" t="s">
        <v>138</v>
      </c>
      <c r="C6" s="5" t="s">
        <v>8</v>
      </c>
      <c r="D6" s="4" t="s">
        <v>67</v>
      </c>
    </row>
    <row r="7" customFormat="false" ht="15" hidden="false" customHeight="false" outlineLevel="0" collapsed="false">
      <c r="A7" s="4" t="s">
        <v>109</v>
      </c>
      <c r="B7" s="4" t="s">
        <v>139</v>
      </c>
      <c r="C7" s="13" t="s">
        <v>46</v>
      </c>
      <c r="D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23.85" hidden="false" customHeight="false" outlineLevel="0" collapsed="false">
      <c r="A4" s="3" t="s">
        <v>142</v>
      </c>
      <c r="B4" s="3" t="s">
        <v>143</v>
      </c>
      <c r="C4" s="3" t="s">
        <v>30</v>
      </c>
      <c r="D4" s="3" t="s">
        <v>31</v>
      </c>
      <c r="E4" s="3" t="s">
        <v>4</v>
      </c>
      <c r="F4" s="3" t="s">
        <v>144</v>
      </c>
    </row>
    <row r="5" customFormat="false" ht="15" hidden="false" customHeight="false" outlineLevel="0" collapsed="false">
      <c r="A5" s="15" t="s">
        <v>56</v>
      </c>
      <c r="B5" s="15"/>
      <c r="C5" s="15" t="s">
        <v>60</v>
      </c>
      <c r="D5" s="15" t="s">
        <v>109</v>
      </c>
      <c r="E5" s="15"/>
      <c r="F5" s="15"/>
    </row>
    <row r="6" customFormat="false" ht="15" hidden="false" customHeight="false" outlineLevel="0" collapsed="false">
      <c r="A6" s="4" t="s">
        <v>145</v>
      </c>
      <c r="B6" s="4" t="s">
        <v>146</v>
      </c>
      <c r="C6" s="16" t="n">
        <v>8</v>
      </c>
      <c r="D6" s="16" t="n">
        <v>4</v>
      </c>
      <c r="E6" s="5" t="s">
        <v>8</v>
      </c>
      <c r="F6" s="4" t="s">
        <v>147</v>
      </c>
    </row>
    <row r="7" customFormat="false" ht="15" hidden="false" customHeight="false" outlineLevel="0" collapsed="false">
      <c r="A7" s="4" t="s">
        <v>148</v>
      </c>
      <c r="B7" s="4" t="s">
        <v>149</v>
      </c>
      <c r="C7" s="16" t="n">
        <v>600</v>
      </c>
      <c r="D7" s="16" t="n">
        <v>600</v>
      </c>
      <c r="E7" s="5" t="s">
        <v>8</v>
      </c>
      <c r="F7" s="4" t="s">
        <v>150</v>
      </c>
    </row>
    <row r="8" customFormat="false" ht="15" hidden="false" customHeight="false" outlineLevel="0" collapsed="false">
      <c r="A8" s="4" t="s">
        <v>151</v>
      </c>
      <c r="B8" s="4" t="s">
        <v>146</v>
      </c>
      <c r="C8" s="16" t="n">
        <v>2</v>
      </c>
      <c r="D8" s="16" t="n">
        <v>1</v>
      </c>
      <c r="E8" s="5" t="s">
        <v>8</v>
      </c>
      <c r="F8" s="4" t="s">
        <v>152</v>
      </c>
    </row>
    <row r="9" customFormat="false" ht="15" hidden="false" customHeight="false" outlineLevel="0" collapsed="false">
      <c r="A9" s="4" t="s">
        <v>153</v>
      </c>
      <c r="B9" s="4" t="s">
        <v>149</v>
      </c>
      <c r="C9" s="16" t="n">
        <v>350</v>
      </c>
      <c r="D9" s="16" t="n">
        <v>350</v>
      </c>
      <c r="E9" s="13" t="s">
        <v>46</v>
      </c>
      <c r="F9" s="4" t="s">
        <v>154</v>
      </c>
    </row>
    <row r="10" customFormat="false" ht="15" hidden="false" customHeight="false" outlineLevel="0" collapsed="false">
      <c r="A10" s="4" t="s">
        <v>155</v>
      </c>
      <c r="B10" s="4" t="s">
        <v>146</v>
      </c>
      <c r="C10" s="16" t="n">
        <v>32</v>
      </c>
      <c r="D10" s="16" t="n">
        <v>16</v>
      </c>
      <c r="E10" s="13" t="s">
        <v>46</v>
      </c>
      <c r="F10" s="4" t="s">
        <v>156</v>
      </c>
    </row>
    <row r="11" customFormat="false" ht="15" hidden="false" customHeight="false" outlineLevel="0" collapsed="false">
      <c r="A11" s="4" t="s">
        <v>157</v>
      </c>
      <c r="B11" s="4" t="s">
        <v>149</v>
      </c>
      <c r="C11" s="16" t="n">
        <v>10</v>
      </c>
      <c r="D11" s="16" t="n">
        <v>10</v>
      </c>
      <c r="E11" s="13" t="s">
        <v>46</v>
      </c>
      <c r="F11" s="4" t="s">
        <v>158</v>
      </c>
    </row>
    <row r="12" customFormat="false" ht="15" hidden="false" customHeight="false" outlineLevel="0" collapsed="false">
      <c r="A12" s="4" t="s">
        <v>159</v>
      </c>
      <c r="B12" s="4" t="s">
        <v>146</v>
      </c>
      <c r="C12" s="16" t="n">
        <v>8</v>
      </c>
      <c r="D12" s="16" t="n">
        <v>4</v>
      </c>
      <c r="E12" s="13" t="s">
        <v>46</v>
      </c>
      <c r="F12" s="4" t="s">
        <v>160</v>
      </c>
    </row>
    <row r="13" customFormat="false" ht="15" hidden="false" customHeight="false" outlineLevel="0" collapsed="false">
      <c r="A13" s="4" t="s">
        <v>161</v>
      </c>
      <c r="B13" s="4" t="s">
        <v>149</v>
      </c>
      <c r="C13" s="16" t="n">
        <v>20</v>
      </c>
      <c r="D13" s="16" t="n">
        <v>25</v>
      </c>
      <c r="E13" s="13" t="s">
        <v>46</v>
      </c>
      <c r="F13" s="4" t="s">
        <v>162</v>
      </c>
    </row>
    <row r="14" customFormat="false" ht="15" hidden="false" customHeight="false" outlineLevel="0" collapsed="false">
      <c r="A14" s="4" t="s">
        <v>163</v>
      </c>
      <c r="B14" s="4" t="s">
        <v>146</v>
      </c>
      <c r="C14" s="16" t="n">
        <v>0</v>
      </c>
      <c r="D14" s="16" t="n">
        <v>2</v>
      </c>
      <c r="E14" s="5" t="s">
        <v>8</v>
      </c>
      <c r="F14" s="4" t="s">
        <v>152</v>
      </c>
    </row>
    <row r="15" customFormat="false" ht="15" hidden="false" customHeight="false" outlineLevel="0" collapsed="false">
      <c r="A15" s="4" t="s">
        <v>164</v>
      </c>
      <c r="B15" s="4" t="s">
        <v>149</v>
      </c>
      <c r="C15" s="16" t="n">
        <v>8</v>
      </c>
      <c r="D15" s="16" t="n">
        <v>8</v>
      </c>
      <c r="E15" s="13" t="s">
        <v>46</v>
      </c>
      <c r="F15" s="4" t="s">
        <v>165</v>
      </c>
    </row>
    <row r="16" customFormat="false" ht="15" hidden="false" customHeight="false" outlineLevel="0" collapsed="false">
      <c r="A16" s="4" t="s">
        <v>166</v>
      </c>
      <c r="B16" s="4" t="s">
        <v>146</v>
      </c>
      <c r="C16" s="16" t="n">
        <v>5</v>
      </c>
      <c r="D16" s="16" t="n">
        <v>3</v>
      </c>
      <c r="E16" s="13" t="s">
        <v>46</v>
      </c>
      <c r="F16" s="4" t="s">
        <v>167</v>
      </c>
    </row>
    <row r="17" customFormat="false" ht="15" hidden="false" customHeight="false" outlineLevel="0" collapsed="false">
      <c r="A17" s="4" t="s">
        <v>168</v>
      </c>
      <c r="B17" s="4" t="s">
        <v>149</v>
      </c>
      <c r="C17" s="16" t="n">
        <v>25</v>
      </c>
      <c r="D17" s="16" t="n">
        <v>25</v>
      </c>
      <c r="E17" s="13" t="s">
        <v>46</v>
      </c>
      <c r="F17" s="4" t="s">
        <v>169</v>
      </c>
    </row>
    <row r="18" customFormat="false" ht="15" hidden="false" customHeight="false" outlineLevel="0" collapsed="false">
      <c r="A18" s="4" t="s">
        <v>170</v>
      </c>
      <c r="B18" s="4" t="s">
        <v>149</v>
      </c>
      <c r="C18" s="16" t="n">
        <v>250</v>
      </c>
      <c r="D18" s="16" t="n">
        <v>150</v>
      </c>
      <c r="E18" s="13" t="s">
        <v>46</v>
      </c>
      <c r="F18" s="4" t="s">
        <v>171</v>
      </c>
    </row>
    <row r="19" customFormat="false" ht="23.85" hidden="false" customHeight="false" outlineLevel="0" collapsed="false">
      <c r="A19" s="4" t="s">
        <v>172</v>
      </c>
      <c r="B19" s="4" t="s">
        <v>173</v>
      </c>
      <c r="C19" s="17" t="n">
        <v>0.08</v>
      </c>
      <c r="D19" s="17" t="n">
        <v>0.08</v>
      </c>
      <c r="E19" s="13" t="s">
        <v>46</v>
      </c>
      <c r="F19" s="4" t="s">
        <v>165</v>
      </c>
    </row>
    <row r="20" customFormat="false" ht="15" hidden="false" customHeight="false" outlineLevel="0" collapsed="false">
      <c r="A20" s="4" t="s">
        <v>174</v>
      </c>
      <c r="B20" s="4" t="s">
        <v>175</v>
      </c>
      <c r="C20" s="18" t="n">
        <v>0.95</v>
      </c>
      <c r="D20" s="18" t="n">
        <v>0.95</v>
      </c>
      <c r="E20" s="13" t="s">
        <v>46</v>
      </c>
      <c r="F20" s="4" t="s">
        <v>176</v>
      </c>
    </row>
    <row r="21" customFormat="false" ht="15" hidden="false" customHeight="false" outlineLevel="0" collapsed="false">
      <c r="A21" s="4" t="s">
        <v>177</v>
      </c>
      <c r="B21" s="4" t="s">
        <v>149</v>
      </c>
      <c r="C21" s="16" t="n">
        <v>3200</v>
      </c>
      <c r="D21" s="16" t="n">
        <v>0</v>
      </c>
      <c r="E21" s="5" t="s">
        <v>178</v>
      </c>
      <c r="F21" s="4" t="s">
        <v>152</v>
      </c>
    </row>
    <row r="22" customFormat="false" ht="15" hidden="false" customHeight="false" outlineLevel="0" collapsed="false">
      <c r="A22" s="4" t="s">
        <v>179</v>
      </c>
      <c r="B22" s="4" t="s">
        <v>146</v>
      </c>
      <c r="C22" s="16" t="n">
        <v>4</v>
      </c>
      <c r="D22" s="16" t="n">
        <v>0</v>
      </c>
      <c r="E22" s="5" t="s">
        <v>178</v>
      </c>
      <c r="F22" s="4" t="s">
        <v>180</v>
      </c>
    </row>
    <row r="23" customFormat="false" ht="15" hidden="false" customHeight="false" outlineLevel="0" collapsed="false">
      <c r="A23" s="4" t="s">
        <v>181</v>
      </c>
      <c r="B23" s="4" t="s">
        <v>146</v>
      </c>
      <c r="C23" s="16" t="n">
        <v>1</v>
      </c>
      <c r="D23" s="16" t="n">
        <v>0</v>
      </c>
      <c r="E23" s="5" t="s">
        <v>178</v>
      </c>
      <c r="F23" s="4" t="s">
        <v>182</v>
      </c>
    </row>
    <row r="24" customFormat="false" ht="15" hidden="false" customHeight="false" outlineLevel="0" collapsed="false">
      <c r="A24" s="4" t="s">
        <v>183</v>
      </c>
      <c r="B24" s="4" t="s">
        <v>146</v>
      </c>
      <c r="C24" s="16" t="n">
        <v>0</v>
      </c>
      <c r="D24" s="16" t="n">
        <v>0</v>
      </c>
      <c r="E24" s="5" t="s">
        <v>8</v>
      </c>
      <c r="F24" s="4" t="s">
        <v>184</v>
      </c>
    </row>
    <row r="25" customFormat="false" ht="15" hidden="false" customHeight="false" outlineLevel="0" collapsed="false">
      <c r="A25" s="4" t="s">
        <v>185</v>
      </c>
      <c r="B25" s="4" t="s">
        <v>186</v>
      </c>
      <c r="C25" s="16" t="n">
        <v>30</v>
      </c>
      <c r="D25" s="16" t="n">
        <v>30</v>
      </c>
      <c r="E25" s="13" t="s">
        <v>46</v>
      </c>
      <c r="F25" s="4" t="s">
        <v>187</v>
      </c>
    </row>
    <row r="26" customFormat="false" ht="15" hidden="false" customHeight="false" outlineLevel="0" collapsed="false">
      <c r="A26" s="4" t="s">
        <v>188</v>
      </c>
      <c r="B26" s="4" t="s">
        <v>189</v>
      </c>
      <c r="C26" s="16" t="n">
        <v>4</v>
      </c>
      <c r="D26" s="16" t="n">
        <v>2</v>
      </c>
      <c r="E26" s="5" t="s">
        <v>8</v>
      </c>
      <c r="F26" s="4" t="s">
        <v>152</v>
      </c>
    </row>
    <row r="27" customFormat="false" ht="15" hidden="false" customHeight="false" outlineLevel="0" collapsed="false">
      <c r="A27" s="4" t="s">
        <v>190</v>
      </c>
      <c r="B27" s="4" t="s">
        <v>189</v>
      </c>
      <c r="C27" s="16" t="n">
        <v>38</v>
      </c>
      <c r="D27" s="16" t="n">
        <v>38</v>
      </c>
      <c r="E27" s="13" t="s">
        <v>46</v>
      </c>
      <c r="F27" s="4" t="s">
        <v>191</v>
      </c>
    </row>
    <row r="29" customFormat="false" ht="15" hidden="false" customHeight="false" outlineLevel="0" collapsed="false">
      <c r="A29" s="9" t="s">
        <v>192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193</v>
      </c>
      <c r="B30" s="3" t="s">
        <v>143</v>
      </c>
      <c r="C30" s="3" t="s">
        <v>30</v>
      </c>
      <c r="D30" s="3" t="s">
        <v>31</v>
      </c>
      <c r="E30" s="3" t="s">
        <v>4</v>
      </c>
      <c r="F30" s="3" t="s">
        <v>194</v>
      </c>
    </row>
    <row r="31" customFormat="false" ht="15" hidden="false" customHeight="false" outlineLevel="0" collapsed="false">
      <c r="A31" s="4" t="s">
        <v>195</v>
      </c>
      <c r="B31" s="4" t="s">
        <v>149</v>
      </c>
      <c r="C31" s="11" t="n">
        <f aca="false">C6*C7</f>
        <v>4800</v>
      </c>
      <c r="D31" s="11" t="n">
        <f aca="false">D6*D7</f>
        <v>2400</v>
      </c>
      <c r="E31" s="6" t="s">
        <v>11</v>
      </c>
      <c r="F31" s="4" t="s">
        <v>196</v>
      </c>
    </row>
    <row r="32" customFormat="false" ht="15" hidden="false" customHeight="false" outlineLevel="0" collapsed="false">
      <c r="A32" s="4" t="s">
        <v>197</v>
      </c>
      <c r="B32" s="4" t="s">
        <v>149</v>
      </c>
      <c r="C32" s="11" t="n">
        <f aca="false">C8*C9</f>
        <v>700</v>
      </c>
      <c r="D32" s="11" t="n">
        <f aca="false">D8*D9</f>
        <v>350</v>
      </c>
      <c r="E32" s="6" t="s">
        <v>11</v>
      </c>
      <c r="F32" s="4" t="s">
        <v>198</v>
      </c>
    </row>
    <row r="33" customFormat="false" ht="15" hidden="false" customHeight="false" outlineLevel="0" collapsed="false">
      <c r="A33" s="4" t="s">
        <v>199</v>
      </c>
      <c r="B33" s="4" t="s">
        <v>149</v>
      </c>
      <c r="C33" s="11" t="n">
        <f aca="false">C10*C11</f>
        <v>320</v>
      </c>
      <c r="D33" s="11" t="n">
        <f aca="false">D10*D11</f>
        <v>160</v>
      </c>
      <c r="E33" s="6" t="s">
        <v>11</v>
      </c>
      <c r="F33" s="4" t="s">
        <v>200</v>
      </c>
    </row>
    <row r="34" customFormat="false" ht="15" hidden="false" customHeight="false" outlineLevel="0" collapsed="false">
      <c r="A34" s="4" t="s">
        <v>201</v>
      </c>
      <c r="B34" s="4" t="s">
        <v>149</v>
      </c>
      <c r="C34" s="11" t="n">
        <f aca="false">C12*C13+C14*C15</f>
        <v>160</v>
      </c>
      <c r="D34" s="11" t="n">
        <f aca="false">D12*D13+D14*D15</f>
        <v>116</v>
      </c>
      <c r="E34" s="6" t="s">
        <v>11</v>
      </c>
      <c r="F34" s="4" t="s">
        <v>202</v>
      </c>
    </row>
    <row r="35" customFormat="false" ht="15" hidden="false" customHeight="false" outlineLevel="0" collapsed="false">
      <c r="A35" s="4" t="s">
        <v>203</v>
      </c>
      <c r="B35" s="4" t="s">
        <v>149</v>
      </c>
      <c r="C35" s="11" t="n">
        <f aca="false">C16*C17</f>
        <v>125</v>
      </c>
      <c r="D35" s="11" t="n">
        <f aca="false">D16*D17</f>
        <v>75</v>
      </c>
      <c r="E35" s="6" t="s">
        <v>11</v>
      </c>
      <c r="F35" s="4" t="s">
        <v>204</v>
      </c>
    </row>
    <row r="36" customFormat="false" ht="15" hidden="false" customHeight="false" outlineLevel="0" collapsed="false">
      <c r="A36" s="4" t="s">
        <v>205</v>
      </c>
      <c r="B36" s="4" t="s">
        <v>149</v>
      </c>
      <c r="C36" s="11" t="n">
        <f aca="false">C18</f>
        <v>250</v>
      </c>
      <c r="D36" s="11" t="n">
        <f aca="false">D18</f>
        <v>150</v>
      </c>
      <c r="E36" s="6" t="s">
        <v>11</v>
      </c>
      <c r="F36" s="4" t="s">
        <v>206</v>
      </c>
    </row>
    <row r="37" customFormat="false" ht="15" hidden="false" customHeight="false" outlineLevel="0" collapsed="false">
      <c r="A37" s="4" t="s">
        <v>207</v>
      </c>
      <c r="B37" s="4" t="s">
        <v>149</v>
      </c>
      <c r="C37" s="11" t="n">
        <f aca="false">SUM(C31:C36)</f>
        <v>6355</v>
      </c>
      <c r="D37" s="11" t="n">
        <f aca="false">SUM(D31:D36)</f>
        <v>3251</v>
      </c>
      <c r="E37" s="6" t="s">
        <v>11</v>
      </c>
      <c r="F37" s="4" t="s">
        <v>208</v>
      </c>
    </row>
    <row r="38" customFormat="false" ht="15" hidden="false" customHeight="false" outlineLevel="0" collapsed="false">
      <c r="A38" s="4" t="s">
        <v>209</v>
      </c>
      <c r="B38" s="4" t="s">
        <v>149</v>
      </c>
      <c r="C38" s="11" t="n">
        <f aca="false">C37*C19</f>
        <v>508.4</v>
      </c>
      <c r="D38" s="11" t="n">
        <f aca="false">D37*D19</f>
        <v>260.08</v>
      </c>
      <c r="E38" s="6" t="s">
        <v>11</v>
      </c>
      <c r="F38" s="4" t="s">
        <v>210</v>
      </c>
    </row>
    <row r="39" customFormat="false" ht="15" hidden="false" customHeight="false" outlineLevel="0" collapsed="false">
      <c r="A39" s="4" t="s">
        <v>211</v>
      </c>
      <c r="B39" s="4" t="s">
        <v>149</v>
      </c>
      <c r="C39" s="11" t="n">
        <f aca="false">C37+C38</f>
        <v>6863.4</v>
      </c>
      <c r="D39" s="11" t="n">
        <f aca="false">D37+D38</f>
        <v>3511.08</v>
      </c>
      <c r="E39" s="6" t="s">
        <v>11</v>
      </c>
      <c r="F39" s="4" t="s">
        <v>212</v>
      </c>
    </row>
    <row r="40" customFormat="false" ht="15" hidden="false" customHeight="false" outlineLevel="0" collapsed="false">
      <c r="A40" s="4" t="s">
        <v>213</v>
      </c>
      <c r="B40" s="4" t="s">
        <v>214</v>
      </c>
      <c r="C40" s="19" t="n">
        <f aca="false">C31/C39</f>
        <v>0.699361832328001</v>
      </c>
      <c r="D40" s="19" t="n">
        <f aca="false">D31/D39</f>
        <v>0.683550360572815</v>
      </c>
      <c r="E40" s="6" t="s">
        <v>11</v>
      </c>
      <c r="F40" s="4" t="s">
        <v>215</v>
      </c>
    </row>
    <row r="41" customFormat="false" ht="15" hidden="false" customHeight="false" outlineLevel="0" collapsed="false">
      <c r="A41" s="4" t="s">
        <v>216</v>
      </c>
      <c r="B41" s="4" t="s">
        <v>149</v>
      </c>
      <c r="C41" s="11" t="n">
        <f aca="false">C39/C20</f>
        <v>7224.63157894737</v>
      </c>
      <c r="D41" s="11" t="n">
        <f aca="false">D39/D20</f>
        <v>3695.87368421053</v>
      </c>
      <c r="E41" s="6" t="s">
        <v>11</v>
      </c>
      <c r="F41" s="4" t="s">
        <v>217</v>
      </c>
    </row>
    <row r="42" customFormat="false" ht="15" hidden="false" customHeight="false" outlineLevel="0" collapsed="false">
      <c r="A42" s="4" t="s">
        <v>218</v>
      </c>
      <c r="B42" s="4" t="s">
        <v>149</v>
      </c>
      <c r="C42" s="11" t="n">
        <f aca="false">IF(C21=0,"n/a",(C22-C23)*C21)</f>
        <v>9600</v>
      </c>
      <c r="D42" s="11" t="str">
        <f aca="false">IF(D21=0,"n/a",(D22-D23)*D21)</f>
        <v>n/a</v>
      </c>
      <c r="E42" s="6" t="s">
        <v>11</v>
      </c>
      <c r="F42" s="4" t="s">
        <v>219</v>
      </c>
    </row>
    <row r="43" customFormat="false" ht="15" hidden="false" customHeight="false" outlineLevel="0" collapsed="false">
      <c r="A43" s="4" t="s">
        <v>220</v>
      </c>
      <c r="B43" s="4" t="s">
        <v>149</v>
      </c>
      <c r="C43" s="11" t="n">
        <f aca="false">IF(ISNUMBER(C42),C42-C39,"n/a")</f>
        <v>2736.6</v>
      </c>
      <c r="D43" s="11" t="str">
        <f aca="false">IF(ISNUMBER(D42),D42-D39,"n/a")</f>
        <v>n/a</v>
      </c>
      <c r="E43" s="6" t="s">
        <v>11</v>
      </c>
      <c r="F43" s="4" t="s">
        <v>221</v>
      </c>
    </row>
    <row r="44" customFormat="false" ht="15" hidden="false" customHeight="false" outlineLevel="0" collapsed="false">
      <c r="A44" s="4" t="s">
        <v>222</v>
      </c>
      <c r="B44" s="4" t="s">
        <v>214</v>
      </c>
      <c r="C44" s="19" t="n">
        <f aca="false">IF(ISNUMBER(C42),C39/C42,"n/a")</f>
        <v>0.7149375</v>
      </c>
      <c r="D44" s="19" t="str">
        <f aca="false">IF(ISNUMBER(D42),D39/D42,"n/a")</f>
        <v>n/a</v>
      </c>
      <c r="E44" s="6" t="s">
        <v>11</v>
      </c>
      <c r="F44" s="4" t="s">
        <v>223</v>
      </c>
    </row>
    <row r="45" customFormat="false" ht="15" hidden="false" customHeight="false" outlineLevel="0" collapsed="false">
      <c r="A45" s="4" t="s">
        <v>224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PSU data not published</v>
      </c>
      <c r="E45" s="6" t="s">
        <v>11</v>
      </c>
      <c r="F45" s="4"/>
    </row>
    <row r="46" customFormat="false" ht="15" hidden="false" customHeight="false" outlineLevel="0" collapsed="false">
      <c r="A46" s="4" t="s">
        <v>225</v>
      </c>
      <c r="B46" s="4" t="s">
        <v>149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226</v>
      </c>
    </row>
    <row r="47" customFormat="false" ht="15" hidden="false" customHeight="false" outlineLevel="0" collapsed="false">
      <c r="A47" s="4" t="s">
        <v>227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228</v>
      </c>
    </row>
    <row r="48" customFormat="false" ht="15" hidden="false" customHeight="false" outlineLevel="0" collapsed="false">
      <c r="A48" s="4" t="s">
        <v>229</v>
      </c>
      <c r="B48" s="4" t="s">
        <v>230</v>
      </c>
      <c r="C48" s="11" t="n">
        <f aca="false">C41*3.412</f>
        <v>24650.4429473684</v>
      </c>
      <c r="D48" s="11" t="n">
        <f aca="false">D41*3.412</f>
        <v>12610.3210105263</v>
      </c>
      <c r="E48" s="6" t="s">
        <v>11</v>
      </c>
      <c r="F48" s="4" t="s">
        <v>231</v>
      </c>
    </row>
    <row r="49" customFormat="false" ht="15" hidden="false" customHeight="false" outlineLevel="0" collapsed="false">
      <c r="A49" s="4" t="s">
        <v>232</v>
      </c>
      <c r="B49" s="4" t="s">
        <v>186</v>
      </c>
      <c r="C49" s="21" t="n">
        <f aca="false">C41/C6/1000</f>
        <v>0.903078947368421</v>
      </c>
      <c r="D49" s="21" t="n">
        <f aca="false">D41/D6/1000</f>
        <v>0.923968421052632</v>
      </c>
      <c r="E49" s="6" t="s">
        <v>11</v>
      </c>
      <c r="F49" s="4" t="s">
        <v>233</v>
      </c>
    </row>
    <row r="50" customFormat="false" ht="15" hidden="false" customHeight="false" outlineLevel="0" collapsed="false">
      <c r="A50" s="4" t="s">
        <v>234</v>
      </c>
      <c r="B50" s="4" t="s">
        <v>146</v>
      </c>
      <c r="C50" s="22" t="n">
        <f aca="false">INT(C25*1000/C41)</f>
        <v>4</v>
      </c>
      <c r="D50" s="22" t="n">
        <f aca="false">INT(D25*1000/D41)</f>
        <v>8</v>
      </c>
      <c r="E50" s="6" t="s">
        <v>11</v>
      </c>
      <c r="F50" s="4" t="s">
        <v>235</v>
      </c>
    </row>
    <row r="51" customFormat="false" ht="15" hidden="false" customHeight="false" outlineLevel="0" collapsed="false">
      <c r="A51" s="4" t="s">
        <v>236</v>
      </c>
      <c r="B51" s="4" t="s">
        <v>146</v>
      </c>
      <c r="C51" s="22" t="n">
        <f aca="false">INT(C27/C26)</f>
        <v>9</v>
      </c>
      <c r="D51" s="22" t="n">
        <f aca="false">INT(D27/D26)</f>
        <v>19</v>
      </c>
      <c r="E51" s="6" t="s">
        <v>11</v>
      </c>
      <c r="F51" s="4" t="s">
        <v>237</v>
      </c>
    </row>
    <row r="52" customFormat="false" ht="15" hidden="false" customHeight="false" outlineLevel="0" collapsed="false">
      <c r="A52" s="4" t="s">
        <v>238</v>
      </c>
      <c r="B52" s="4" t="s">
        <v>146</v>
      </c>
      <c r="C52" s="22" t="n">
        <f aca="false">MIN(C50,C51)</f>
        <v>4</v>
      </c>
      <c r="D52" s="22" t="n">
        <f aca="false">MIN(D50,D51)</f>
        <v>8</v>
      </c>
      <c r="E52" s="6" t="s">
        <v>11</v>
      </c>
      <c r="F52" s="4" t="s">
        <v>239</v>
      </c>
    </row>
    <row r="53" customFormat="false" ht="15" hidden="false" customHeight="false" outlineLevel="0" collapsed="false">
      <c r="A53" s="4" t="s">
        <v>240</v>
      </c>
      <c r="B53" s="4" t="s">
        <v>146</v>
      </c>
      <c r="C53" s="22" t="n">
        <f aca="false">C52*C6</f>
        <v>32</v>
      </c>
      <c r="D53" s="22" t="n">
        <f aca="false">D52*D6</f>
        <v>32</v>
      </c>
      <c r="E53" s="6" t="s">
        <v>11</v>
      </c>
      <c r="F53" s="4" t="s">
        <v>241</v>
      </c>
    </row>
    <row r="54" customFormat="false" ht="15" hidden="false" customHeight="false" outlineLevel="0" collapsed="false">
      <c r="A54" s="4" t="s">
        <v>242</v>
      </c>
      <c r="B54" s="4" t="s">
        <v>186</v>
      </c>
      <c r="C54" s="23" t="n">
        <f aca="false">C52*C41/1000</f>
        <v>28.8985263157895</v>
      </c>
      <c r="D54" s="23" t="n">
        <f aca="false">D52*D41/1000</f>
        <v>29.5669894736842</v>
      </c>
      <c r="E54" s="6" t="s">
        <v>11</v>
      </c>
      <c r="F54" s="4" t="s">
        <v>243</v>
      </c>
    </row>
    <row r="56" customFormat="false" ht="39" hidden="false" customHeight="true" outlineLevel="0" collapsed="false">
      <c r="A56" s="24" t="s">
        <v>244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9" t="s">
        <v>247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248</v>
      </c>
      <c r="C5" s="3" t="s">
        <v>249</v>
      </c>
      <c r="D5" s="3" t="s">
        <v>9</v>
      </c>
      <c r="E5" s="3" t="s">
        <v>250</v>
      </c>
      <c r="F5" s="3" t="s">
        <v>251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60</v>
      </c>
      <c r="B6" s="4" t="s">
        <v>252</v>
      </c>
      <c r="C6" s="4" t="s">
        <v>253</v>
      </c>
      <c r="D6" s="4" t="s">
        <v>254</v>
      </c>
      <c r="E6" s="4" t="s">
        <v>255</v>
      </c>
      <c r="F6" s="4" t="s">
        <v>256</v>
      </c>
      <c r="G6" s="4" t="s">
        <v>257</v>
      </c>
      <c r="H6" s="13" t="s">
        <v>46</v>
      </c>
    </row>
    <row r="7" customFormat="false" ht="15" hidden="false" customHeight="false" outlineLevel="0" collapsed="false">
      <c r="A7" s="4" t="s">
        <v>60</v>
      </c>
      <c r="B7" s="4" t="s">
        <v>258</v>
      </c>
      <c r="C7" s="4" t="s">
        <v>253</v>
      </c>
      <c r="D7" s="4" t="s">
        <v>254</v>
      </c>
      <c r="E7" s="4" t="s">
        <v>259</v>
      </c>
      <c r="F7" s="4" t="s">
        <v>260</v>
      </c>
      <c r="G7" s="4" t="s">
        <v>257</v>
      </c>
      <c r="H7" s="13" t="s">
        <v>46</v>
      </c>
    </row>
    <row r="8" customFormat="false" ht="15" hidden="false" customHeight="false" outlineLevel="0" collapsed="false">
      <c r="A8" s="4" t="s">
        <v>60</v>
      </c>
      <c r="B8" s="4" t="s">
        <v>261</v>
      </c>
      <c r="C8" s="4" t="s">
        <v>253</v>
      </c>
      <c r="D8" s="4" t="s">
        <v>262</v>
      </c>
      <c r="E8" s="4" t="s">
        <v>263</v>
      </c>
      <c r="F8" s="4" t="s">
        <v>264</v>
      </c>
      <c r="G8" s="4" t="s">
        <v>265</v>
      </c>
      <c r="H8" s="6" t="s">
        <v>11</v>
      </c>
    </row>
    <row r="9" customFormat="false" ht="15" hidden="false" customHeight="false" outlineLevel="0" collapsed="false">
      <c r="A9" s="4" t="s">
        <v>60</v>
      </c>
      <c r="B9" s="4" t="s">
        <v>266</v>
      </c>
      <c r="C9" s="4" t="s">
        <v>253</v>
      </c>
      <c r="D9" s="4" t="s">
        <v>262</v>
      </c>
      <c r="E9" s="4" t="s">
        <v>267</v>
      </c>
      <c r="F9" s="4" t="s">
        <v>268</v>
      </c>
      <c r="G9" s="4" t="s">
        <v>257</v>
      </c>
      <c r="H9" s="13" t="s">
        <v>46</v>
      </c>
    </row>
    <row r="10" customFormat="false" ht="15" hidden="false" customHeight="false" outlineLevel="0" collapsed="false">
      <c r="A10" s="4" t="s">
        <v>60</v>
      </c>
      <c r="B10" s="4" t="s">
        <v>269</v>
      </c>
      <c r="C10" s="4" t="s">
        <v>253</v>
      </c>
      <c r="D10" s="4" t="s">
        <v>270</v>
      </c>
      <c r="E10" s="4" t="s">
        <v>271</v>
      </c>
      <c r="F10" s="4" t="s">
        <v>264</v>
      </c>
      <c r="G10" s="4" t="s">
        <v>265</v>
      </c>
      <c r="H10" s="6" t="s">
        <v>11</v>
      </c>
    </row>
    <row r="11" customFormat="false" ht="15" hidden="false" customHeight="false" outlineLevel="0" collapsed="false">
      <c r="A11" s="4" t="s">
        <v>60</v>
      </c>
      <c r="B11" s="4" t="s">
        <v>272</v>
      </c>
      <c r="C11" s="4" t="s">
        <v>253</v>
      </c>
      <c r="D11" s="4" t="s">
        <v>270</v>
      </c>
      <c r="E11" s="4" t="s">
        <v>273</v>
      </c>
      <c r="F11" s="4" t="s">
        <v>268</v>
      </c>
      <c r="G11" s="4" t="s">
        <v>257</v>
      </c>
      <c r="H11" s="13" t="s">
        <v>46</v>
      </c>
    </row>
    <row r="12" customFormat="false" ht="15" hidden="false" customHeight="false" outlineLevel="0" collapsed="false">
      <c r="A12" s="4" t="s">
        <v>60</v>
      </c>
      <c r="B12" s="4" t="s">
        <v>274</v>
      </c>
      <c r="C12" s="4" t="s">
        <v>275</v>
      </c>
      <c r="D12" s="4" t="s">
        <v>254</v>
      </c>
      <c r="E12" s="4" t="s">
        <v>255</v>
      </c>
      <c r="F12" s="4" t="s">
        <v>256</v>
      </c>
      <c r="G12" s="4" t="s">
        <v>257</v>
      </c>
      <c r="H12" s="13" t="s">
        <v>46</v>
      </c>
    </row>
    <row r="13" customFormat="false" ht="15" hidden="false" customHeight="false" outlineLevel="0" collapsed="false">
      <c r="A13" s="4" t="s">
        <v>60</v>
      </c>
      <c r="B13" s="4" t="s">
        <v>276</v>
      </c>
      <c r="C13" s="4" t="s">
        <v>275</v>
      </c>
      <c r="D13" s="4" t="s">
        <v>254</v>
      </c>
      <c r="E13" s="4" t="s">
        <v>259</v>
      </c>
      <c r="F13" s="4" t="s">
        <v>260</v>
      </c>
      <c r="G13" s="4" t="s">
        <v>257</v>
      </c>
      <c r="H13" s="13" t="s">
        <v>46</v>
      </c>
    </row>
    <row r="14" customFormat="false" ht="15" hidden="false" customHeight="false" outlineLevel="0" collapsed="false">
      <c r="A14" s="4" t="s">
        <v>60</v>
      </c>
      <c r="B14" s="4" t="s">
        <v>277</v>
      </c>
      <c r="C14" s="4" t="s">
        <v>275</v>
      </c>
      <c r="D14" s="4" t="s">
        <v>262</v>
      </c>
      <c r="E14" s="4" t="s">
        <v>263</v>
      </c>
      <c r="F14" s="4" t="s">
        <v>264</v>
      </c>
      <c r="G14" s="4" t="s">
        <v>265</v>
      </c>
      <c r="H14" s="6" t="s">
        <v>11</v>
      </c>
    </row>
    <row r="15" customFormat="false" ht="15" hidden="false" customHeight="false" outlineLevel="0" collapsed="false">
      <c r="A15" s="4" t="s">
        <v>60</v>
      </c>
      <c r="B15" s="4" t="s">
        <v>278</v>
      </c>
      <c r="C15" s="4" t="s">
        <v>275</v>
      </c>
      <c r="D15" s="4" t="s">
        <v>262</v>
      </c>
      <c r="E15" s="4" t="s">
        <v>267</v>
      </c>
      <c r="F15" s="4" t="s">
        <v>268</v>
      </c>
      <c r="G15" s="4" t="s">
        <v>257</v>
      </c>
      <c r="H15" s="13" t="s">
        <v>46</v>
      </c>
    </row>
    <row r="16" customFormat="false" ht="15" hidden="false" customHeight="false" outlineLevel="0" collapsed="false">
      <c r="A16" s="4" t="s">
        <v>60</v>
      </c>
      <c r="B16" s="4" t="s">
        <v>279</v>
      </c>
      <c r="C16" s="4" t="s">
        <v>275</v>
      </c>
      <c r="D16" s="4" t="s">
        <v>270</v>
      </c>
      <c r="E16" s="4" t="s">
        <v>271</v>
      </c>
      <c r="F16" s="4" t="s">
        <v>264</v>
      </c>
      <c r="G16" s="4" t="s">
        <v>265</v>
      </c>
      <c r="H16" s="6" t="s">
        <v>11</v>
      </c>
    </row>
    <row r="17" customFormat="false" ht="15" hidden="false" customHeight="false" outlineLevel="0" collapsed="false">
      <c r="A17" s="4" t="s">
        <v>60</v>
      </c>
      <c r="B17" s="4" t="s">
        <v>280</v>
      </c>
      <c r="C17" s="4" t="s">
        <v>275</v>
      </c>
      <c r="D17" s="4" t="s">
        <v>270</v>
      </c>
      <c r="E17" s="4" t="s">
        <v>273</v>
      </c>
      <c r="F17" s="4" t="s">
        <v>268</v>
      </c>
      <c r="G17" s="4" t="s">
        <v>257</v>
      </c>
      <c r="H17" s="13" t="s">
        <v>46</v>
      </c>
    </row>
    <row r="19" customFormat="false" ht="15" hidden="false" customHeight="false" outlineLevel="0" collapsed="false">
      <c r="A19" s="9" t="s">
        <v>281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3" t="s">
        <v>56</v>
      </c>
      <c r="B20" s="3" t="s">
        <v>248</v>
      </c>
      <c r="C20" s="3" t="s">
        <v>249</v>
      </c>
      <c r="D20" s="3" t="s">
        <v>9</v>
      </c>
      <c r="E20" s="3" t="s">
        <v>250</v>
      </c>
      <c r="F20" s="3" t="s">
        <v>251</v>
      </c>
      <c r="G20" s="3" t="s">
        <v>29</v>
      </c>
      <c r="H20" s="3" t="s">
        <v>4</v>
      </c>
    </row>
    <row r="21" customFormat="false" ht="15" hidden="false" customHeight="false" outlineLevel="0" collapsed="false">
      <c r="A21" s="4" t="s">
        <v>109</v>
      </c>
      <c r="B21" s="4" t="s">
        <v>252</v>
      </c>
      <c r="C21" s="4" t="s">
        <v>253</v>
      </c>
      <c r="D21" s="4" t="s">
        <v>254</v>
      </c>
      <c r="E21" s="4" t="s">
        <v>255</v>
      </c>
      <c r="F21" s="4" t="s">
        <v>256</v>
      </c>
      <c r="G21" s="4" t="s">
        <v>282</v>
      </c>
      <c r="H21" s="13" t="s">
        <v>46</v>
      </c>
    </row>
    <row r="22" customFormat="false" ht="15" hidden="false" customHeight="false" outlineLevel="0" collapsed="false">
      <c r="A22" s="4" t="s">
        <v>109</v>
      </c>
      <c r="B22" s="4" t="s">
        <v>258</v>
      </c>
      <c r="C22" s="4" t="s">
        <v>253</v>
      </c>
      <c r="D22" s="4" t="s">
        <v>254</v>
      </c>
      <c r="E22" s="4" t="s">
        <v>259</v>
      </c>
      <c r="F22" s="4" t="s">
        <v>260</v>
      </c>
      <c r="G22" s="4" t="s">
        <v>282</v>
      </c>
      <c r="H22" s="13" t="s">
        <v>46</v>
      </c>
    </row>
    <row r="23" customFormat="false" ht="15" hidden="false" customHeight="false" outlineLevel="0" collapsed="false">
      <c r="A23" s="4" t="s">
        <v>109</v>
      </c>
      <c r="B23" s="4" t="s">
        <v>261</v>
      </c>
      <c r="C23" s="4" t="s">
        <v>253</v>
      </c>
      <c r="D23" s="4" t="s">
        <v>262</v>
      </c>
      <c r="E23" s="4" t="s">
        <v>263</v>
      </c>
      <c r="F23" s="4" t="s">
        <v>264</v>
      </c>
      <c r="G23" s="4" t="s">
        <v>282</v>
      </c>
      <c r="H23" s="13" t="s">
        <v>46</v>
      </c>
    </row>
    <row r="24" customFormat="false" ht="15" hidden="false" customHeight="false" outlineLevel="0" collapsed="false">
      <c r="A24" s="4" t="s">
        <v>109</v>
      </c>
      <c r="B24" s="4" t="s">
        <v>266</v>
      </c>
      <c r="C24" s="4" t="s">
        <v>253</v>
      </c>
      <c r="D24" s="4" t="s">
        <v>262</v>
      </c>
      <c r="E24" s="4" t="s">
        <v>267</v>
      </c>
      <c r="F24" s="4" t="s">
        <v>268</v>
      </c>
      <c r="G24" s="4" t="s">
        <v>282</v>
      </c>
      <c r="H24" s="13" t="s">
        <v>46</v>
      </c>
    </row>
    <row r="25" customFormat="false" ht="15" hidden="false" customHeight="false" outlineLevel="0" collapsed="false">
      <c r="A25" s="4" t="s">
        <v>109</v>
      </c>
      <c r="B25" s="4" t="s">
        <v>269</v>
      </c>
      <c r="C25" s="4" t="s">
        <v>253</v>
      </c>
      <c r="D25" s="4" t="s">
        <v>270</v>
      </c>
      <c r="E25" s="4" t="s">
        <v>271</v>
      </c>
      <c r="F25" s="4" t="s">
        <v>264</v>
      </c>
      <c r="G25" s="4" t="s">
        <v>282</v>
      </c>
      <c r="H25" s="13" t="s">
        <v>46</v>
      </c>
    </row>
    <row r="26" customFormat="false" ht="15" hidden="false" customHeight="false" outlineLevel="0" collapsed="false">
      <c r="A26" s="4" t="s">
        <v>109</v>
      </c>
      <c r="B26" s="4" t="s">
        <v>272</v>
      </c>
      <c r="C26" s="4" t="s">
        <v>253</v>
      </c>
      <c r="D26" s="4" t="s">
        <v>270</v>
      </c>
      <c r="E26" s="4" t="s">
        <v>273</v>
      </c>
      <c r="F26" s="4" t="s">
        <v>268</v>
      </c>
      <c r="G26" s="4" t="s">
        <v>282</v>
      </c>
      <c r="H26" s="13" t="s">
        <v>46</v>
      </c>
    </row>
    <row r="27" customFormat="false" ht="15" hidden="false" customHeight="false" outlineLevel="0" collapsed="false">
      <c r="A27" s="4" t="s">
        <v>109</v>
      </c>
      <c r="B27" s="4" t="s">
        <v>274</v>
      </c>
      <c r="C27" s="4" t="s">
        <v>275</v>
      </c>
      <c r="D27" s="4" t="s">
        <v>254</v>
      </c>
      <c r="E27" s="4" t="s">
        <v>255</v>
      </c>
      <c r="F27" s="4" t="s">
        <v>256</v>
      </c>
      <c r="G27" s="4" t="s">
        <v>282</v>
      </c>
      <c r="H27" s="13" t="s">
        <v>46</v>
      </c>
    </row>
    <row r="28" customFormat="false" ht="15" hidden="false" customHeight="false" outlineLevel="0" collapsed="false">
      <c r="A28" s="4" t="s">
        <v>109</v>
      </c>
      <c r="B28" s="4" t="s">
        <v>276</v>
      </c>
      <c r="C28" s="4" t="s">
        <v>275</v>
      </c>
      <c r="D28" s="4" t="s">
        <v>254</v>
      </c>
      <c r="E28" s="4" t="s">
        <v>259</v>
      </c>
      <c r="F28" s="4" t="s">
        <v>260</v>
      </c>
      <c r="G28" s="4" t="s">
        <v>282</v>
      </c>
      <c r="H28" s="13" t="s">
        <v>46</v>
      </c>
    </row>
    <row r="29" customFormat="false" ht="15" hidden="false" customHeight="false" outlineLevel="0" collapsed="false">
      <c r="A29" s="4" t="s">
        <v>109</v>
      </c>
      <c r="B29" s="4" t="s">
        <v>277</v>
      </c>
      <c r="C29" s="4" t="s">
        <v>275</v>
      </c>
      <c r="D29" s="4" t="s">
        <v>262</v>
      </c>
      <c r="E29" s="4" t="s">
        <v>263</v>
      </c>
      <c r="F29" s="4" t="s">
        <v>264</v>
      </c>
      <c r="G29" s="4" t="s">
        <v>282</v>
      </c>
      <c r="H29" s="13" t="s">
        <v>46</v>
      </c>
    </row>
    <row r="30" customFormat="false" ht="15" hidden="false" customHeight="false" outlineLevel="0" collapsed="false">
      <c r="A30" s="4" t="s">
        <v>109</v>
      </c>
      <c r="B30" s="4" t="s">
        <v>278</v>
      </c>
      <c r="C30" s="4" t="s">
        <v>275</v>
      </c>
      <c r="D30" s="4" t="s">
        <v>262</v>
      </c>
      <c r="E30" s="4" t="s">
        <v>267</v>
      </c>
      <c r="F30" s="4" t="s">
        <v>268</v>
      </c>
      <c r="G30" s="4" t="s">
        <v>282</v>
      </c>
      <c r="H30" s="13" t="s">
        <v>46</v>
      </c>
    </row>
    <row r="31" customFormat="false" ht="15" hidden="false" customHeight="false" outlineLevel="0" collapsed="false">
      <c r="A31" s="4" t="s">
        <v>109</v>
      </c>
      <c r="B31" s="4" t="s">
        <v>279</v>
      </c>
      <c r="C31" s="4" t="s">
        <v>275</v>
      </c>
      <c r="D31" s="4" t="s">
        <v>270</v>
      </c>
      <c r="E31" s="4" t="s">
        <v>271</v>
      </c>
      <c r="F31" s="4" t="s">
        <v>264</v>
      </c>
      <c r="G31" s="4" t="s">
        <v>282</v>
      </c>
      <c r="H31" s="13" t="s">
        <v>46</v>
      </c>
    </row>
    <row r="32" customFormat="false" ht="15" hidden="false" customHeight="false" outlineLevel="0" collapsed="false">
      <c r="A32" s="4" t="s">
        <v>109</v>
      </c>
      <c r="B32" s="4" t="s">
        <v>280</v>
      </c>
      <c r="C32" s="4" t="s">
        <v>275</v>
      </c>
      <c r="D32" s="4" t="s">
        <v>270</v>
      </c>
      <c r="E32" s="4" t="s">
        <v>273</v>
      </c>
      <c r="F32" s="4" t="s">
        <v>268</v>
      </c>
      <c r="G32" s="4" t="s">
        <v>282</v>
      </c>
      <c r="H32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4" customFormat="false" ht="15" hidden="false" customHeight="false" outlineLevel="0" collapsed="false">
      <c r="A4" s="3" t="s">
        <v>285</v>
      </c>
      <c r="B4" s="3" t="s">
        <v>286</v>
      </c>
      <c r="C4" s="3" t="s">
        <v>287</v>
      </c>
      <c r="D4" s="3" t="s">
        <v>288</v>
      </c>
    </row>
    <row r="5" customFormat="false" ht="15" hidden="false" customHeight="false" outlineLevel="0" collapsed="false">
      <c r="A5" s="4" t="n">
        <v>1</v>
      </c>
      <c r="B5" s="4" t="s">
        <v>289</v>
      </c>
      <c r="C5" s="4" t="s">
        <v>290</v>
      </c>
      <c r="D5" s="4" t="s">
        <v>291</v>
      </c>
    </row>
    <row r="6" customFormat="false" ht="35.05" hidden="false" customHeight="false" outlineLevel="0" collapsed="false">
      <c r="A6" s="4" t="n">
        <v>2</v>
      </c>
      <c r="B6" s="4" t="s">
        <v>292</v>
      </c>
      <c r="C6" s="4" t="s">
        <v>293</v>
      </c>
      <c r="D6" s="4" t="s">
        <v>294</v>
      </c>
    </row>
    <row r="7" customFormat="false" ht="23.85" hidden="false" customHeight="false" outlineLevel="0" collapsed="false">
      <c r="A7" s="4" t="n">
        <v>3</v>
      </c>
      <c r="B7" s="4" t="s">
        <v>295</v>
      </c>
      <c r="C7" s="4" t="s">
        <v>296</v>
      </c>
      <c r="D7" s="4" t="s">
        <v>297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298</v>
      </c>
    </row>
    <row r="2" customFormat="false" ht="15" hidden="false" customHeight="false" outlineLevel="0" collapsed="false">
      <c r="A2" s="2" t="s">
        <v>299</v>
      </c>
    </row>
    <row r="4" customFormat="false" ht="15" hidden="false" customHeight="false" outlineLevel="0" collapsed="false">
      <c r="A4" s="3" t="s">
        <v>300</v>
      </c>
      <c r="B4" s="3" t="s">
        <v>5</v>
      </c>
      <c r="C4" s="3" t="s">
        <v>301</v>
      </c>
      <c r="D4" s="3" t="s">
        <v>302</v>
      </c>
    </row>
    <row r="5" customFormat="false" ht="15" hidden="false" customHeight="false" outlineLevel="0" collapsed="false">
      <c r="A5" s="4" t="s">
        <v>67</v>
      </c>
      <c r="B5" s="4" t="s">
        <v>303</v>
      </c>
      <c r="C5" s="4" t="s">
        <v>304</v>
      </c>
      <c r="D5" s="5" t="s">
        <v>8</v>
      </c>
    </row>
    <row r="6" customFormat="false" ht="15" hidden="false" customHeight="false" outlineLevel="0" collapsed="false">
      <c r="A6" s="4" t="s">
        <v>83</v>
      </c>
      <c r="B6" s="4" t="s">
        <v>305</v>
      </c>
      <c r="C6" s="4" t="s">
        <v>306</v>
      </c>
      <c r="D6" s="5" t="s">
        <v>8</v>
      </c>
    </row>
    <row r="7" customFormat="false" ht="23.85" hidden="false" customHeight="false" outlineLevel="0" collapsed="false">
      <c r="A7" s="4" t="s">
        <v>111</v>
      </c>
      <c r="B7" s="4" t="s">
        <v>307</v>
      </c>
      <c r="C7" s="4" t="s">
        <v>308</v>
      </c>
      <c r="D7" s="5" t="s">
        <v>8</v>
      </c>
    </row>
    <row r="8" customFormat="false" ht="15" hidden="false" customHeight="false" outlineLevel="0" collapsed="false">
      <c r="A8" s="4" t="s">
        <v>309</v>
      </c>
      <c r="B8" s="4" t="s">
        <v>310</v>
      </c>
      <c r="C8" s="4" t="s">
        <v>311</v>
      </c>
      <c r="D8" s="5" t="s">
        <v>8</v>
      </c>
    </row>
    <row r="9" customFormat="false" ht="15" hidden="false" customHeight="false" outlineLevel="0" collapsed="false">
      <c r="A9" s="4" t="s">
        <v>131</v>
      </c>
      <c r="B9" s="4" t="s">
        <v>312</v>
      </c>
      <c r="C9" s="4" t="s">
        <v>313</v>
      </c>
      <c r="D9" s="5" t="s">
        <v>8</v>
      </c>
    </row>
    <row r="10" customFormat="false" ht="23.85" hidden="false" customHeight="false" outlineLevel="0" collapsed="false">
      <c r="A10" s="4" t="s">
        <v>20</v>
      </c>
      <c r="B10" s="4" t="s">
        <v>314</v>
      </c>
      <c r="C10" s="4" t="s">
        <v>315</v>
      </c>
      <c r="D10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15" hidden="false" customHeight="false" outlineLevel="0" collapsed="false">
      <c r="A4" s="25" t="s">
        <v>318</v>
      </c>
    </row>
    <row r="5" customFormat="false" ht="15" hidden="false" customHeight="false" outlineLevel="0" collapsed="false">
      <c r="A5" s="25" t="s">
        <v>319</v>
      </c>
    </row>
    <row r="6" customFormat="false" ht="15" hidden="false" customHeight="false" outlineLevel="0" collapsed="false">
      <c r="A6" s="25" t="s">
        <v>320</v>
      </c>
    </row>
    <row r="7" customFormat="false" ht="15" hidden="false" customHeight="false" outlineLevel="0" collapsed="false">
      <c r="A7" s="25" t="s">
        <v>321</v>
      </c>
    </row>
    <row r="8" customFormat="false" ht="15" hidden="false" customHeight="false" outlineLevel="0" collapsed="false">
      <c r="A8" s="25" t="s">
        <v>322</v>
      </c>
    </row>
    <row r="9" customFormat="false" ht="15" hidden="false" customHeight="false" outlineLevel="0" collapsed="false">
      <c r="A9" s="25" t="s">
        <v>323</v>
      </c>
    </row>
    <row r="10" customFormat="false" ht="15" hidden="false" customHeight="false" outlineLevel="0" collapsed="false">
      <c r="A10" s="25" t="s">
        <v>324</v>
      </c>
    </row>
    <row r="11" customFormat="false" ht="15" hidden="false" customHeight="false" outlineLevel="0" collapsed="false">
      <c r="A11" s="25" t="s">
        <v>325</v>
      </c>
    </row>
    <row r="12" customFormat="false" ht="15" hidden="false" customHeight="false" outlineLevel="0" collapsed="false">
      <c r="A12" s="25" t="s">
        <v>326</v>
      </c>
    </row>
    <row r="13" customFormat="false" ht="15" hidden="false" customHeight="false" outlineLevel="0" collapsed="false">
      <c r="A13" s="25" t="s">
        <v>327</v>
      </c>
    </row>
    <row r="14" customFormat="false" ht="15" hidden="false" customHeight="false" outlineLevel="0" collapsed="false">
      <c r="A14" s="25" t="s">
        <v>328</v>
      </c>
    </row>
    <row r="15" customFormat="false" ht="15" hidden="false" customHeight="false" outlineLevel="0" collapsed="false">
      <c r="A15" s="25" t="s">
        <v>329</v>
      </c>
    </row>
    <row r="16" customFormat="false" ht="15" hidden="false" customHeight="false" outlineLevel="0" collapsed="false">
      <c r="A16" s="25" t="s">
        <v>330</v>
      </c>
    </row>
    <row r="17" customFormat="false" ht="15" hidden="false" customHeight="false" outlineLevel="0" collapsed="false">
      <c r="A17" s="25" t="s">
        <v>331</v>
      </c>
    </row>
    <row r="18" customFormat="false" ht="15" hidden="false" customHeight="false" outlineLevel="0" collapsed="false">
      <c r="A18" s="25" t="s">
        <v>332</v>
      </c>
    </row>
    <row r="19" customFormat="false" ht="15" hidden="false" customHeight="false" outlineLevel="0" collapsed="false">
      <c r="A19" s="25" t="s">
        <v>333</v>
      </c>
    </row>
    <row r="20" customFormat="false" ht="15" hidden="false" customHeight="false" outlineLevel="0" collapsed="false">
      <c r="A20" s="25" t="s">
        <v>334</v>
      </c>
    </row>
    <row r="21" customFormat="false" ht="15" hidden="false" customHeight="false" outlineLevel="0" collapsed="false">
      <c r="A21" s="25" t="s">
        <v>335</v>
      </c>
    </row>
    <row r="22" customFormat="false" ht="15" hidden="false" customHeight="false" outlineLevel="0" collapsed="false">
      <c r="A22" s="25" t="s">
        <v>336</v>
      </c>
    </row>
    <row r="23" customFormat="false" ht="15" hidden="false" customHeight="false" outlineLevel="0" collapsed="false">
      <c r="A23" s="25" t="s">
        <v>337</v>
      </c>
    </row>
    <row r="24" customFormat="false" ht="15" hidden="false" customHeight="false" outlineLevel="0" collapsed="false">
      <c r="A24" s="25" t="s">
        <v>338</v>
      </c>
    </row>
    <row r="25" customFormat="false" ht="15" hidden="false" customHeight="false" outlineLevel="0" collapsed="false">
      <c r="A25" s="25" t="s">
        <v>339</v>
      </c>
    </row>
    <row r="26" customFormat="false" ht="15" hidden="false" customHeight="false" outlineLevel="0" collapsed="false">
      <c r="A26" s="25" t="s">
        <v>340</v>
      </c>
    </row>
    <row r="27" customFormat="false" ht="15" hidden="false" customHeight="false" outlineLevel="0" collapsed="false">
      <c r="A27" s="25" t="s">
        <v>334</v>
      </c>
    </row>
    <row r="28" customFormat="false" ht="15" hidden="false" customHeight="false" outlineLevel="0" collapsed="false">
      <c r="A28" s="25" t="s">
        <v>341</v>
      </c>
    </row>
    <row r="29" customFormat="false" ht="15" hidden="false" customHeight="false" outlineLevel="0" collapsed="false">
      <c r="A29" s="25" t="s">
        <v>342</v>
      </c>
    </row>
    <row r="30" customFormat="false" ht="15" hidden="false" customHeight="false" outlineLevel="0" collapsed="false">
      <c r="A30" s="25" t="s">
        <v>343</v>
      </c>
    </row>
    <row r="31" customFormat="false" ht="15" hidden="false" customHeight="false" outlineLevel="0" collapsed="false">
      <c r="A31" s="25" t="s">
        <v>344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2026-09-26T03:22:41Z</dcterms:created>
  <dc:creator>openpyxl</dc:creator>
  <dc:description/>
  <dc:language>en-US</dc:language>
  <cp:lastModifiedBy/>
  <dcterms:modified xsi:type="dcterms:W3CDTF">2026-09-26T03:22:41Z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