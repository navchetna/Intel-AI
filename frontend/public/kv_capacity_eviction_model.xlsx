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Baseline" sheetId="2" state="visible" r:id="rId4"/>
    <sheet name="Concurrency" sheetId="3" state="visible" r:id="rId5"/>
    <sheet name="Formulas" sheetId="4" state="visible" r:id="rId6"/>
  </sheets>
  <definedNames>
    <definedName function="false" hidden="false" name="cards" vbProcedure="false">Inputs!$C$8</definedName>
    <definedName function="false" hidden="false" name="cxl_bw" vbProcedure="false">Baseline!$C$11</definedName>
    <definedName function="false" hidden="false" name="cxl_pc" vbProcedure="false">Inputs!$C$24</definedName>
    <definedName function="false" hidden="false" name="ddr_bw" vbProcedure="false">Baseline!$C$10</definedName>
    <definedName function="false" hidden="false" name="ddr_pc" vbProcedure="false">Inputs!$C$23</definedName>
    <definedName function="false" hidden="false" name="dn_state_mb" vbProcedure="false">Inputs!$C$20</definedName>
    <definedName function="false" hidden="false" name="d_head" vbProcedure="false">Inputs!$C$18</definedName>
    <definedName function="false" hidden="false" name="fl_bw" vbProcedure="false">Baseline!$C$12</definedName>
    <definedName function="false" hidden="false" name="fl_pc" vbProcedure="false">Inputs!$C$25</definedName>
    <definedName function="false" hidden="false" name="KV_budget_GB" vbProcedure="false">Baseline!$C$8</definedName>
    <definedName function="false" hidden="false" name="kv_bytes" vbProcedure="false">Inputs!$C$19</definedName>
    <definedName function="false" hidden="false" name="kv_per_token" vbProcedure="false">Baseline!$C$4</definedName>
    <definedName function="false" hidden="false" name="mfu" vbProcedure="false">Inputs!$C$9</definedName>
    <definedName function="false" hidden="false" name="N_active" vbProcedure="false">Inputs!$C$14</definedName>
    <definedName function="false" hidden="false" name="n_fa" vbProcedure="false">Inputs!$C$15</definedName>
    <definedName function="false" hidden="false" name="n_kv" vbProcedure="false">Inputs!$C$16</definedName>
    <definedName function="false" hidden="false" name="n_q" vbProcedure="false">Inputs!$C$17</definedName>
    <definedName function="false" hidden="false" name="reserve_pct" vbProcedure="false">Inputs!$C$10</definedName>
    <definedName function="false" hidden="false" name="tf_card" vbProcedure="false">Inputs!$C$7</definedName>
    <definedName function="false" hidden="false" name="VRAM_card" vbProcedure="false">Inputs!$C$6</definedName>
    <definedName function="false" hidden="false" name="VRAM_total" vbProcedure="false">Baseline!$C$6</definedName>
    <definedName function="false" hidden="false" name="weights" vbProcedure="false">Inputs!$C$13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<sst xmlns="http://schemas.openxmlformats.org/spreadsheetml/2006/main" count="124" uniqueCount="111">
  <si>
    <t xml:space="preserve">KV capacity &amp; eviction model — Inputs</t>
  </si>
  <si>
    <t xml:space="preserve">Edit blue cells. Pick a silicon in the yellow cell (VRAM / TFLOPS auto-fill; overtype for custom).</t>
  </si>
  <si>
    <t xml:space="preserve">SILICON</t>
  </si>
  <si>
    <t xml:space="preserve">Silicon</t>
  </si>
  <si>
    <t xml:space="preserve">VRAM (GB)</t>
  </si>
  <si>
    <t xml:space="preserve">BF16 TFLOPS</t>
  </si>
  <si>
    <t xml:space="preserve">Silicon (pick)</t>
  </si>
  <si>
    <t xml:space="preserve">Intel Arc Pro B70</t>
  </si>
  <si>
    <t xml:space="preserve">VRAM per card</t>
  </si>
  <si>
    <t xml:space="preserve">GB</t>
  </si>
  <si>
    <t xml:space="preserve">Intel Crescent Island</t>
  </si>
  <si>
    <t xml:space="preserve">BF16 TFLOPS per card</t>
  </si>
  <si>
    <t xml:space="preserve">TFLOP/s</t>
  </si>
  <si>
    <t xml:space="preserve">NVIDIA H100</t>
  </si>
  <si>
    <t xml:space="preserve">Cards (TP group)</t>
  </si>
  <si>
    <t xml:space="preserve">cards</t>
  </si>
  <si>
    <t xml:space="preserve">NVIDIA H200</t>
  </si>
  <si>
    <t xml:space="preserve">Prefill MFU</t>
  </si>
  <si>
    <t xml:space="preserve">incl. TP overhead</t>
  </si>
  <si>
    <t xml:space="preserve">NVIDIA B200</t>
  </si>
  <si>
    <t xml:space="preserve">Reserve</t>
  </si>
  <si>
    <t xml:space="preserve">activations / frag</t>
  </si>
  <si>
    <t xml:space="preserve">RTX PRO 6000</t>
  </si>
  <si>
    <t xml:space="preserve">MODEL — Qwen3.8-27B (dense hybrid)</t>
  </si>
  <si>
    <t xml:space="preserve">Crescent Island / B200 TFLOPS are estimates — verify.</t>
  </si>
  <si>
    <t xml:space="preserve">Weights</t>
  </si>
  <si>
    <t xml:space="preserve">GB (FP16 = 2·27.8B)</t>
  </si>
  <si>
    <t xml:space="preserve">Active params</t>
  </si>
  <si>
    <t xml:space="preserve">params</t>
  </si>
  <si>
    <t xml:space="preserve">Full-attention layers  n_fa</t>
  </si>
  <si>
    <t xml:space="preserve">of 64 total</t>
  </si>
  <si>
    <t xml:space="preserve">KV heads  n_kv</t>
  </si>
  <si>
    <t xml:space="preserve">Q / attention heads  n_q</t>
  </si>
  <si>
    <t xml:space="preserve">Head dim  d_head</t>
  </si>
  <si>
    <t xml:space="preserve">KV dtype bytes</t>
  </si>
  <si>
    <t xml:space="preserve">FP16=2, FP8=1</t>
  </si>
  <si>
    <t xml:space="preserve">Linear-attn fixed state</t>
  </si>
  <si>
    <t xml:space="preserve">MB (O(1) in ctx)</t>
  </si>
  <si>
    <t xml:space="preserve">OFFLOAD MEDIA — per-card egress BW</t>
  </si>
  <si>
    <t xml:space="preserve">DDR (host)</t>
  </si>
  <si>
    <t xml:space="preserve">GB/s per card</t>
  </si>
  <si>
    <t xml:space="preserve">CXL pool</t>
  </si>
  <si>
    <t xml:space="preserve">All-flash</t>
  </si>
  <si>
    <t xml:space="preserve">Deployment baseline</t>
  </si>
  <si>
    <t xml:space="preserve">Metric</t>
  </si>
  <si>
    <t xml:space="preserve">Value</t>
  </si>
  <si>
    <t xml:space="preserve">Unit</t>
  </si>
  <si>
    <t xml:space="preserve">Formula (algebra)</t>
  </si>
  <si>
    <t xml:space="preserve">KV per token</t>
  </si>
  <si>
    <t xml:space="preserve">bytes</t>
  </si>
  <si>
    <t xml:space="preserve">2 · n_fa · n_kv · d_head · kv_bytes</t>
  </si>
  <si>
    <t xml:space="preserve">KiB</t>
  </si>
  <si>
    <t xml:space="preserve">kv_per_token / 1024</t>
  </si>
  <si>
    <t xml:space="preserve">VRAM total</t>
  </si>
  <si>
    <t xml:space="preserve">cards · VRAM_card</t>
  </si>
  <si>
    <t xml:space="preserve">VRAM_total · reserve%</t>
  </si>
  <si>
    <t xml:space="preserve">KV budget</t>
  </si>
  <si>
    <t xml:space="preserve">VRAM_total − weights − reserve</t>
  </si>
  <si>
    <t xml:space="preserve">Min cards for weights</t>
  </si>
  <si>
    <t xml:space="preserve">⌈ weights / VRAM_card ⌉</t>
  </si>
  <si>
    <t xml:space="preserve">DDR egress (aggregate)</t>
  </si>
  <si>
    <t xml:space="preserve">GB/s</t>
  </si>
  <si>
    <t xml:space="preserve">ddr_pc · cards  (parallel shards)</t>
  </si>
  <si>
    <t xml:space="preserve">CXL egress (aggregate)</t>
  </si>
  <si>
    <t xml:space="preserve">cxl_pc · cards</t>
  </si>
  <si>
    <t xml:space="preserve">Flash egress (aggregate)</t>
  </si>
  <si>
    <t xml:space="preserve">fl_pc · cards</t>
  </si>
  <si>
    <t xml:space="preserve">Concurrency &amp; eviction cost by context length</t>
  </si>
  <si>
    <t xml:space="preserve">Max resident requests, and the time to evict one — offload (each-way) to each tier vs recompute the prefill.</t>
  </si>
  <si>
    <t xml:space="preserve">Context (K)</t>
  </si>
  <si>
    <t xml:space="preserve">Context (tok)</t>
  </si>
  <si>
    <t xml:space="preserve">KV / req (GB)</t>
  </si>
  <si>
    <t xml:space="preserve">Max concurrency</t>
  </si>
  <si>
    <t xml:space="preserve">Recompute (s)</t>
  </si>
  <si>
    <t xml:space="preserve">DDR ↔ (ms)</t>
  </si>
  <si>
    <t xml:space="preserve">CXL ↔ (ms)</t>
  </si>
  <si>
    <t xml:space="preserve">Flash ↔ (ms)</t>
  </si>
  <si>
    <t xml:space="preserve">Recompute ÷ flash</t>
  </si>
  <si>
    <t xml:space="preserve">ctx K</t>
  </si>
  <si>
    <t xml:space="preserve">recompute</t>
  </si>
  <si>
    <t xml:space="preserve">DDR</t>
  </si>
  <si>
    <t xml:space="preserve">CXL</t>
  </si>
  <si>
    <t xml:space="preserve">flash</t>
  </si>
  <si>
    <t xml:space="preserve">Read-back beats recompute at every context here: re-prefilling a 27.8B-param model is ~100× slower per token than reading its KV back.</t>
  </si>
  <si>
    <t xml:space="preserve">So the eviction decision is which tier, not whether to recompute; tier choice is set by aggregate egress BW under concurrent eviction.</t>
  </si>
  <si>
    <t xml:space="preserve">Model equations</t>
  </si>
  <si>
    <t xml:space="preserve">CAPACITY</t>
  </si>
  <si>
    <t xml:space="preserve">kv_per_token</t>
  </si>
  <si>
    <t xml:space="preserve">2 · n_fa · n_kv · d_head · kv_bytes   (full-attention layers only)</t>
  </si>
  <si>
    <t xml:space="preserve">KV_req(C)</t>
  </si>
  <si>
    <t xml:space="preserve">kv_per_token · C + linear_state        C = input + output tokens</t>
  </si>
  <si>
    <t xml:space="preserve">VRAM_total</t>
  </si>
  <si>
    <t xml:space="preserve">KV_budget</t>
  </si>
  <si>
    <t xml:space="preserve">concurrency(C)</t>
  </si>
  <si>
    <t xml:space="preserve">INT( KV_budget / KV_req(C) )</t>
  </si>
  <si>
    <t xml:space="preserve">EVICTION  (one resident request leaves to admit a new one)</t>
  </si>
  <si>
    <t xml:space="preserve">egress_BW(tier)</t>
  </si>
  <si>
    <t xml:space="preserve">per_card_BW(tier) · cards      (KV sharded across cards → links write in parallel)</t>
  </si>
  <si>
    <t xml:space="preserve">t_writeout</t>
  </si>
  <si>
    <t xml:space="preserve">KV_req / egress_BW(tier)       HBM → tier  (eviction; async-able)</t>
  </si>
  <si>
    <t xml:space="preserve">t_readback</t>
  </si>
  <si>
    <t xml:space="preserve">KV_req / egress_BW(tier)       tier → HBM  (paid when victim resumes)</t>
  </si>
  <si>
    <t xml:space="preserve">RECOMPUTE  (drop victim, re-prefill on resume)</t>
  </si>
  <si>
    <t xml:space="preserve">prefill_FLOP(C)</t>
  </si>
  <si>
    <t xml:space="preserve">2·N_active·C + 4·n_fa·(n_q·d_head)·C²    (weights·linear)+(attention·quadratic)</t>
  </si>
  <si>
    <t xml:space="preserve">t_recompute</t>
  </si>
  <si>
    <t xml:space="preserve">prefill_FLOP / (cards · TFLOPS_card · MFU · 1e12)</t>
  </si>
  <si>
    <t xml:space="preserve">DECISION</t>
  </si>
  <si>
    <t xml:space="preserve">fetch beats recompute (resume latency) when  t_readback &lt; t_recompute</t>
  </si>
  <si>
    <t xml:space="preserve">note</t>
  </si>
  <si>
    <t xml:space="preserve">for a 27.8B dense model, recompute/token ≈ 190 µs vs KV read/token ≈ 1–5 µs → fetch wins for all C&gt;0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</si>
</sst>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%"/>
    <numFmt numFmtId="168" formatCode="0.0"/>
    <numFmt numFmtId="169" formatCode="#,##0"/>
    <numFmt numFmtId="170" formatCode="0\×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A5A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7A7A7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C07A00"/>
      <name val="Arial"/>
      <family val="0"/>
      <charset val="1"/>
    </font>
    <font>
      <i val="true"/>
      <sz val="9"/>
      <color rgb="FF3A4A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B0103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3A4A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CF4"/>
        <bgColor rgb="FFD9DEE7"/>
      </patternFill>
    </fill>
    <fill>
      <patternFill patternType="solid">
        <fgColor rgb="FF1F2A44"/>
        <bgColor rgb="FF003366"/>
      </patternFill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1030"/>
      <rgbColor rgb="FF008000"/>
      <rgbColor rgb="FF000080"/>
      <rgbColor rgb="FF7A5A00"/>
      <rgbColor rgb="FF800080"/>
      <rgbColor rgb="FF008080"/>
      <rgbColor rgb="FFD9D9D9"/>
      <rgbColor rgb="FF7A7A7A"/>
      <rgbColor rgb="FF9999FF"/>
      <rgbColor rgb="FFBE4B48"/>
      <rgbColor rgb="FFFFF3C4"/>
      <rgbColor rgb="FFE8ECF4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C07A00"/>
      <rgbColor rgb="FF7D5FA0"/>
      <rgbColor rgb="FF878787"/>
      <rgbColor rgb="FF003366"/>
      <rgbColor rgb="FF4F81BD"/>
      <rgbColor rgb="FF003300"/>
      <rgbColor rgb="FF333300"/>
      <rgbColor rgb="FF993300"/>
      <rgbColor rgb="FF993366"/>
      <rgbColor rgb="FF3A4A66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 concurrency vs context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Concurrency!E4</c:f>
              <c:strCache>
                <c:ptCount val="1"/>
                <c:pt idx="0">
                  <c:v>Max concurrency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Concurrency!$B$5:$B$8</c:f>
              <c:strCach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strCache>
            </c:strRef>
          </c:cat>
          <c:val>
            <c:numRef>
              <c:f>Concurrency!$E$5:$E$8</c:f>
              <c:numCache>
                <c:formatCode>0</c:formatCode>
                <c:ptCount val="4"/>
                <c:pt idx="0">
                  <c:v>99</c:v>
                </c:pt>
                <c:pt idx="1">
                  <c:v>53</c:v>
                </c:pt>
                <c:pt idx="2">
                  <c:v>27</c:v>
                </c:pt>
                <c:pt idx="3">
                  <c:v>13</c:v>
                </c:pt>
              </c:numCache>
            </c:numRef>
          </c:val>
        </c:ser>
        <c:gapWidth val="150"/>
        <c:overlap val="0"/>
        <c:axId val="59025154"/>
        <c:axId val="42046955"/>
      </c:barChart>
      <c:catAx>
        <c:axId val="590251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context (K tokens)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46955"/>
        <c:crosses val="autoZero"/>
        <c:auto val="1"/>
        <c:lblAlgn val="ctr"/>
        <c:lblOffset val="100"/>
        <c:noMultiLvlLbl val="0"/>
      </c:catAx>
      <c:valAx>
        <c:axId val="42046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resident requests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25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Resume latency — recompute vs fetch (ms, 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Concurrency!M4</c:f>
              <c:strCache>
                <c:ptCount val="1"/>
                <c:pt idx="0">
                  <c:v>recompute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Concurrency!$L$5:$L$8</c:f>
              <c:strCach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strCache>
            </c:strRef>
          </c:cat>
          <c:val>
            <c:numRef>
              <c:f>Concurrency!$M$5:$M$8</c:f>
              <c:numCache>
                <c:formatCode>0.0</c:formatCode>
                <c:ptCount val="4"/>
                <c:pt idx="0">
                  <c:v>1605.07453551913</c:v>
                </c:pt>
                <c:pt idx="1">
                  <c:v>3382.04677595628</c:v>
                </c:pt>
                <c:pt idx="2">
                  <c:v>7451.6843715847</c:v>
                </c:pt>
                <c:pt idx="3">
                  <c:v>17653.7320218579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Concurrency!N4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Concurrency!$L$5:$L$8</c:f>
              <c:strCach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strCache>
            </c:strRef>
          </c:cat>
          <c:val>
            <c:numRef>
              <c:f>Concurrency!$N$5:$N$8</c:f>
              <c:numCache>
                <c:formatCode>0.0</c:formatCode>
                <c:ptCount val="4"/>
                <c:pt idx="0">
                  <c:v>2.99644</c:v>
                </c:pt>
                <c:pt idx="1">
                  <c:v>5.61788</c:v>
                </c:pt>
                <c:pt idx="2">
                  <c:v>10.86076</c:v>
                </c:pt>
                <c:pt idx="3">
                  <c:v>21.34652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Concurrency!O4</c:f>
              <c:strCache>
                <c:ptCount val="1"/>
                <c:pt idx="0">
                  <c:v>CXL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Concurrency!$L$5:$L$8</c:f>
              <c:strCach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strCache>
            </c:strRef>
          </c:cat>
          <c:val>
            <c:numRef>
              <c:f>Concurrency!$O$5:$O$8</c:f>
              <c:numCache>
                <c:formatCode>0.0</c:formatCode>
                <c:ptCount val="4"/>
                <c:pt idx="0">
                  <c:v>3.74555</c:v>
                </c:pt>
                <c:pt idx="1">
                  <c:v>7.02235</c:v>
                </c:pt>
                <c:pt idx="2">
                  <c:v>13.57595</c:v>
                </c:pt>
                <c:pt idx="3">
                  <c:v>26.68315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Concurrency!P4</c:f>
              <c:strCache>
                <c:ptCount val="1"/>
                <c:pt idx="0">
                  <c:v>flash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Concurrency!$L$5:$L$8</c:f>
              <c:strCach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strCache>
            </c:strRef>
          </c:cat>
          <c:val>
            <c:numRef>
              <c:f>Concurrency!$P$5:$P$8</c:f>
              <c:numCache>
                <c:formatCode>0.0</c:formatCode>
                <c:ptCount val="4"/>
                <c:pt idx="0">
                  <c:v>14.9822</c:v>
                </c:pt>
                <c:pt idx="1">
                  <c:v>28.0894</c:v>
                </c:pt>
                <c:pt idx="2">
                  <c:v>54.3038</c:v>
                </c:pt>
                <c:pt idx="3">
                  <c:v>106.7326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817159"/>
        <c:axId val="29468697"/>
      </c:lineChart>
      <c:catAx>
        <c:axId val="198171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context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68697"/>
        <c:crosses val="autoZero"/>
        <c:auto val="1"/>
        <c:lblAlgn val="ctr"/>
        <c:lblOffset val="100"/>
        <c:noMultiLvlLbl val="0"/>
      </c:catAx>
      <c:valAx>
        <c:axId val="2946869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17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82440</xdr:rowOff>
    </xdr:from>
    <xdr:to>
      <xdr:col>5</xdr:col>
      <xdr:colOff>795600</xdr:colOff>
      <xdr:row>25</xdr:row>
      <xdr:rowOff>115200</xdr:rowOff>
    </xdr:to>
    <xdr:graphicFrame>
      <xdr:nvGraphicFramePr>
        <xdr:cNvPr id="0" name="Chart 1"/>
        <xdr:cNvGraphicFramePr/>
      </xdr:nvGraphicFramePr>
      <xdr:xfrm>
        <a:off x="611640" y="2286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82440</xdr:rowOff>
    </xdr:from>
    <xdr:to>
      <xdr:col>12</xdr:col>
      <xdr:colOff>395280</xdr:colOff>
      <xdr:row>25</xdr:row>
      <xdr:rowOff>115200</xdr:rowOff>
    </xdr:to>
    <xdr:graphicFrame>
      <xdr:nvGraphicFramePr>
        <xdr:cNvPr id="1" name="Chart 2"/>
        <xdr:cNvGraphicFramePr/>
      </xdr:nvGraphicFramePr>
      <xdr:xfrm>
        <a:off x="5827320" y="2286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G4" s="5" t="s">
        <v>3</v>
      </c>
      <c r="H4" s="5" t="s">
        <v>4</v>
      </c>
      <c r="I4" s="5" t="s">
        <v>5</v>
      </c>
    </row>
    <row r="5" customFormat="false" ht="15" hidden="false" customHeight="false" outlineLevel="0" collapsed="false">
      <c r="B5" s="6" t="s">
        <v>6</v>
      </c>
      <c r="C5" s="7" t="s">
        <v>7</v>
      </c>
      <c r="G5" s="8" t="s">
        <v>7</v>
      </c>
      <c r="H5" s="9" t="n">
        <v>32</v>
      </c>
      <c r="I5" s="9" t="n">
        <v>183</v>
      </c>
    </row>
    <row r="6" customFormat="false" ht="15" hidden="false" customHeight="false" outlineLevel="0" collapsed="false">
      <c r="B6" s="6" t="s">
        <v>8</v>
      </c>
      <c r="C6" s="10" t="n">
        <f aca="false">IFERROR(INDEX($H$5:$H$10,MATCH($C$5,$G$5:$G$10,0)),32)</f>
        <v>32</v>
      </c>
      <c r="D6" s="11" t="s">
        <v>9</v>
      </c>
      <c r="G6" s="8" t="s">
        <v>10</v>
      </c>
      <c r="H6" s="9" t="n">
        <v>160</v>
      </c>
      <c r="I6" s="9" t="n">
        <v>600</v>
      </c>
    </row>
    <row r="7" customFormat="false" ht="15" hidden="false" customHeight="false" outlineLevel="0" collapsed="false">
      <c r="B7" s="6" t="s">
        <v>11</v>
      </c>
      <c r="C7" s="10" t="n">
        <f aca="false">IFERROR(INDEX($I$5:$I$10,MATCH($C$5,$G$5:$G$10,0)),183)</f>
        <v>183</v>
      </c>
      <c r="D7" s="11" t="s">
        <v>12</v>
      </c>
      <c r="G7" s="8" t="s">
        <v>13</v>
      </c>
      <c r="H7" s="9" t="n">
        <v>80</v>
      </c>
      <c r="I7" s="9" t="n">
        <v>495</v>
      </c>
    </row>
    <row r="8" customFormat="false" ht="15" hidden="false" customHeight="false" outlineLevel="0" collapsed="false">
      <c r="B8" s="6" t="s">
        <v>14</v>
      </c>
      <c r="C8" s="12" t="n">
        <v>4</v>
      </c>
      <c r="D8" s="11" t="s">
        <v>15</v>
      </c>
      <c r="G8" s="8" t="s">
        <v>16</v>
      </c>
      <c r="H8" s="9" t="n">
        <v>141</v>
      </c>
      <c r="I8" s="9" t="n">
        <v>495</v>
      </c>
    </row>
    <row r="9" customFormat="false" ht="15" hidden="false" customHeight="false" outlineLevel="0" collapsed="false">
      <c r="B9" s="6" t="s">
        <v>17</v>
      </c>
      <c r="C9" s="13" t="n">
        <v>0.4</v>
      </c>
      <c r="D9" s="11" t="s">
        <v>18</v>
      </c>
      <c r="G9" s="8" t="s">
        <v>19</v>
      </c>
      <c r="H9" s="9" t="n">
        <v>192</v>
      </c>
      <c r="I9" s="9" t="n">
        <v>1100</v>
      </c>
    </row>
    <row r="10" customFormat="false" ht="15" hidden="false" customHeight="false" outlineLevel="0" collapsed="false">
      <c r="B10" s="6" t="s">
        <v>20</v>
      </c>
      <c r="C10" s="14" t="n">
        <v>0.1</v>
      </c>
      <c r="D10" s="11" t="s">
        <v>21</v>
      </c>
      <c r="G10" s="8" t="s">
        <v>22</v>
      </c>
      <c r="H10" s="9" t="n">
        <v>96</v>
      </c>
      <c r="I10" s="9" t="n">
        <v>500</v>
      </c>
    </row>
    <row r="12" customFormat="false" ht="15" hidden="false" customHeight="false" outlineLevel="0" collapsed="false">
      <c r="B12" s="3" t="s">
        <v>23</v>
      </c>
      <c r="C12" s="4"/>
      <c r="D12" s="4"/>
      <c r="G12" s="15" t="s">
        <v>24</v>
      </c>
    </row>
    <row r="13" customFormat="false" ht="15" hidden="false" customHeight="false" outlineLevel="0" collapsed="false">
      <c r="B13" s="6" t="s">
        <v>25</v>
      </c>
      <c r="C13" s="16" t="n">
        <v>55.6</v>
      </c>
      <c r="D13" s="11" t="s">
        <v>26</v>
      </c>
    </row>
    <row r="14" customFormat="false" ht="15" hidden="false" customHeight="false" outlineLevel="0" collapsed="false">
      <c r="B14" s="6" t="s">
        <v>27</v>
      </c>
      <c r="C14" s="17" t="n">
        <v>27800000000</v>
      </c>
      <c r="D14" s="11" t="s">
        <v>28</v>
      </c>
    </row>
    <row r="15" customFormat="false" ht="15" hidden="false" customHeight="false" outlineLevel="0" collapsed="false">
      <c r="B15" s="6" t="s">
        <v>29</v>
      </c>
      <c r="C15" s="12" t="n">
        <v>16</v>
      </c>
      <c r="D15" s="11" t="s">
        <v>30</v>
      </c>
    </row>
    <row r="16" customFormat="false" ht="15" hidden="false" customHeight="false" outlineLevel="0" collapsed="false">
      <c r="B16" s="6" t="s">
        <v>31</v>
      </c>
      <c r="C16" s="12" t="n">
        <v>4</v>
      </c>
      <c r="D16" s="11"/>
    </row>
    <row r="17" customFormat="false" ht="15" hidden="false" customHeight="false" outlineLevel="0" collapsed="false">
      <c r="B17" s="6" t="s">
        <v>32</v>
      </c>
      <c r="C17" s="12" t="n">
        <v>24</v>
      </c>
      <c r="D17" s="11"/>
    </row>
    <row r="18" customFormat="false" ht="15" hidden="false" customHeight="false" outlineLevel="0" collapsed="false">
      <c r="B18" s="6" t="s">
        <v>33</v>
      </c>
      <c r="C18" s="12" t="n">
        <v>256</v>
      </c>
      <c r="D18" s="11"/>
    </row>
    <row r="19" customFormat="false" ht="15" hidden="false" customHeight="false" outlineLevel="0" collapsed="false">
      <c r="B19" s="6" t="s">
        <v>34</v>
      </c>
      <c r="C19" s="16" t="n">
        <v>2</v>
      </c>
      <c r="D19" s="11" t="s">
        <v>35</v>
      </c>
    </row>
    <row r="20" customFormat="false" ht="15" hidden="false" customHeight="false" outlineLevel="0" collapsed="false">
      <c r="B20" s="6" t="s">
        <v>36</v>
      </c>
      <c r="C20" s="12" t="n">
        <v>75</v>
      </c>
      <c r="D20" s="11" t="s">
        <v>37</v>
      </c>
    </row>
    <row r="22" customFormat="false" ht="15" hidden="false" customHeight="false" outlineLevel="0" collapsed="false">
      <c r="B22" s="3" t="s">
        <v>38</v>
      </c>
      <c r="C22" s="4"/>
      <c r="D22" s="4"/>
    </row>
    <row r="23" customFormat="false" ht="15" hidden="false" customHeight="false" outlineLevel="0" collapsed="false">
      <c r="B23" s="6" t="s">
        <v>39</v>
      </c>
      <c r="C23" s="12" t="n">
        <v>50</v>
      </c>
      <c r="D23" s="11" t="s">
        <v>40</v>
      </c>
    </row>
    <row r="24" customFormat="false" ht="15" hidden="false" customHeight="false" outlineLevel="0" collapsed="false">
      <c r="B24" s="6" t="s">
        <v>41</v>
      </c>
      <c r="C24" s="12" t="n">
        <v>40</v>
      </c>
      <c r="D24" s="11" t="s">
        <v>40</v>
      </c>
    </row>
    <row r="25" customFormat="false" ht="15" hidden="false" customHeight="false" outlineLevel="0" collapsed="false">
      <c r="B25" s="6" t="s">
        <v>42</v>
      </c>
      <c r="C25" s="12" t="n">
        <v>10</v>
      </c>
      <c r="D25" s="11" t="s">
        <v>40</v>
      </c>
    </row>
  </sheetData>
  <dataValidations count="1">
    <dataValidation allowBlank="false" errorStyle="stop" operator="between" showDropDown="false" showErrorMessage="false" showInputMessage="false" sqref="C5" type="list">
      <formula1>$G$5:$G$10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34"/>
  </cols>
  <sheetData>
    <row r="1" customFormat="false" ht="16.15" hidden="false" customHeight="false" outlineLevel="0" collapsed="false">
      <c r="B1" s="1" t="s">
        <v>43</v>
      </c>
    </row>
    <row r="3" customFormat="false" ht="15" hidden="false" customHeight="false" outlineLevel="0" collapsed="false">
      <c r="B3" s="5" t="s">
        <v>44</v>
      </c>
      <c r="C3" s="5" t="s">
        <v>45</v>
      </c>
      <c r="D3" s="5" t="s">
        <v>46</v>
      </c>
      <c r="E3" s="5" t="s">
        <v>47</v>
      </c>
    </row>
    <row r="4" customFormat="false" ht="15" hidden="false" customHeight="false" outlineLevel="0" collapsed="false">
      <c r="B4" s="18" t="s">
        <v>48</v>
      </c>
      <c r="C4" s="19" t="n">
        <f aca="false">2*n_fa*n_kv*d_head*kv_bytes</f>
        <v>65536</v>
      </c>
      <c r="D4" s="20" t="s">
        <v>49</v>
      </c>
      <c r="E4" s="21" t="s">
        <v>50</v>
      </c>
    </row>
    <row r="5" customFormat="false" ht="15" hidden="false" customHeight="false" outlineLevel="0" collapsed="false">
      <c r="B5" s="18" t="s">
        <v>48</v>
      </c>
      <c r="C5" s="22" t="n">
        <f aca="false">C4/1024</f>
        <v>64</v>
      </c>
      <c r="D5" s="20" t="s">
        <v>51</v>
      </c>
      <c r="E5" s="21" t="s">
        <v>52</v>
      </c>
    </row>
    <row r="6" customFormat="false" ht="15" hidden="false" customHeight="false" outlineLevel="0" collapsed="false">
      <c r="B6" s="18" t="s">
        <v>53</v>
      </c>
      <c r="C6" s="22" t="n">
        <f aca="false">cards*VRAM_card</f>
        <v>128</v>
      </c>
      <c r="D6" s="20" t="s">
        <v>9</v>
      </c>
      <c r="E6" s="21" t="s">
        <v>54</v>
      </c>
    </row>
    <row r="7" customFormat="false" ht="15" hidden="false" customHeight="false" outlineLevel="0" collapsed="false">
      <c r="B7" s="18" t="s">
        <v>20</v>
      </c>
      <c r="C7" s="23" t="n">
        <f aca="false">VRAM_total*reserve_pct</f>
        <v>12.8</v>
      </c>
      <c r="D7" s="20" t="s">
        <v>9</v>
      </c>
      <c r="E7" s="21" t="s">
        <v>55</v>
      </c>
    </row>
    <row r="8" customFormat="false" ht="15" hidden="false" customHeight="false" outlineLevel="0" collapsed="false">
      <c r="B8" s="18" t="s">
        <v>56</v>
      </c>
      <c r="C8" s="23" t="n">
        <f aca="false">VRAM_total-weights-C7</f>
        <v>59.6</v>
      </c>
      <c r="D8" s="20" t="s">
        <v>9</v>
      </c>
      <c r="E8" s="21" t="s">
        <v>57</v>
      </c>
    </row>
    <row r="9" customFormat="false" ht="15" hidden="false" customHeight="false" outlineLevel="0" collapsed="false">
      <c r="B9" s="18" t="s">
        <v>58</v>
      </c>
      <c r="C9" s="22" t="n">
        <f aca="false">CEILING(weights/VRAM_card,1)</f>
        <v>2</v>
      </c>
      <c r="D9" s="20" t="s">
        <v>15</v>
      </c>
      <c r="E9" s="21" t="s">
        <v>59</v>
      </c>
    </row>
    <row r="10" customFormat="false" ht="15" hidden="false" customHeight="false" outlineLevel="0" collapsed="false">
      <c r="B10" s="18" t="s">
        <v>60</v>
      </c>
      <c r="C10" s="22" t="n">
        <f aca="false">ddr_pc*cards</f>
        <v>200</v>
      </c>
      <c r="D10" s="20" t="s">
        <v>61</v>
      </c>
      <c r="E10" s="21" t="s">
        <v>62</v>
      </c>
    </row>
    <row r="11" customFormat="false" ht="15" hidden="false" customHeight="false" outlineLevel="0" collapsed="false">
      <c r="B11" s="18" t="s">
        <v>63</v>
      </c>
      <c r="C11" s="22" t="n">
        <f aca="false">cxl_pc*cards</f>
        <v>160</v>
      </c>
      <c r="D11" s="20" t="s">
        <v>61</v>
      </c>
      <c r="E11" s="21" t="s">
        <v>64</v>
      </c>
    </row>
    <row r="12" customFormat="false" ht="15" hidden="false" customHeight="false" outlineLevel="0" collapsed="false">
      <c r="B12" s="18" t="s">
        <v>65</v>
      </c>
      <c r="C12" s="22" t="n">
        <f aca="false">fl_pc*cards</f>
        <v>40</v>
      </c>
      <c r="D12" s="20" t="s">
        <v>61</v>
      </c>
      <c r="E12" s="21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9" min="7" style="0" width="11"/>
    <col collapsed="false" customWidth="true" hidden="false" outlineLevel="0" max="10" min="10" style="0" width="15"/>
    <col collapsed="false" customWidth="true" hidden="false" outlineLevel="0" max="16" min="12" style="0" width="10"/>
  </cols>
  <sheetData>
    <row r="1" customFormat="false" ht="16.15" hidden="false" customHeight="false" outlineLevel="0" collapsed="false">
      <c r="B1" s="1" t="s">
        <v>67</v>
      </c>
    </row>
    <row r="2" customFormat="false" ht="15" hidden="false" customHeight="false" outlineLevel="0" collapsed="false">
      <c r="B2" s="2" t="s">
        <v>68</v>
      </c>
    </row>
    <row r="4" customFormat="false" ht="22.35" hidden="false" customHeight="false" outlineLevel="0" collapsed="false">
      <c r="B4" s="24" t="s">
        <v>69</v>
      </c>
      <c r="C4" s="24" t="s">
        <v>70</v>
      </c>
      <c r="D4" s="24" t="s">
        <v>71</v>
      </c>
      <c r="E4" s="24" t="s">
        <v>72</v>
      </c>
      <c r="F4" s="24" t="s">
        <v>73</v>
      </c>
      <c r="G4" s="24" t="s">
        <v>74</v>
      </c>
      <c r="H4" s="24" t="s">
        <v>75</v>
      </c>
      <c r="I4" s="24" t="s">
        <v>76</v>
      </c>
      <c r="J4" s="24" t="s">
        <v>77</v>
      </c>
      <c r="L4" s="25" t="s">
        <v>78</v>
      </c>
      <c r="M4" s="25" t="s">
        <v>79</v>
      </c>
      <c r="N4" s="25" t="s">
        <v>80</v>
      </c>
      <c r="O4" s="25" t="s">
        <v>81</v>
      </c>
      <c r="P4" s="25" t="s">
        <v>82</v>
      </c>
    </row>
    <row r="5" customFormat="false" ht="15" hidden="false" customHeight="false" outlineLevel="0" collapsed="false">
      <c r="B5" s="22" t="n">
        <v>8</v>
      </c>
      <c r="C5" s="19" t="n">
        <f aca="false">B5*1000</f>
        <v>8000</v>
      </c>
      <c r="D5" s="26" t="n">
        <f aca="false">(kv_per_token*C5+dn_state_mb*1000000)/1000000000</f>
        <v>0.599288</v>
      </c>
      <c r="E5" s="27" t="n">
        <f aca="false">INT(KV_budget_GB/D5)</f>
        <v>99</v>
      </c>
      <c r="F5" s="28" t="n">
        <f aca="false">(2*N_active*C5+4*n_fa*(n_q*d_head)*C5^2)/(cards*tf_card*mfu*1000000000000)</f>
        <v>1.60507453551913</v>
      </c>
      <c r="G5" s="23" t="n">
        <f aca="false">D5/ddr_bw*1000</f>
        <v>2.99644</v>
      </c>
      <c r="H5" s="23" t="n">
        <f aca="false">D5/cxl_bw*1000</f>
        <v>3.74555</v>
      </c>
      <c r="I5" s="23" t="n">
        <f aca="false">D5/fl_bw*1000</f>
        <v>14.9822</v>
      </c>
      <c r="J5" s="29" t="n">
        <f aca="false">F5*1000/I5</f>
        <v>107.132099125571</v>
      </c>
      <c r="L5" s="30" t="n">
        <f aca="false">B5</f>
        <v>8</v>
      </c>
      <c r="M5" s="31" t="n">
        <f aca="false">F5*1000</f>
        <v>1605.07453551913</v>
      </c>
      <c r="N5" s="31" t="n">
        <f aca="false">G5</f>
        <v>2.99644</v>
      </c>
      <c r="O5" s="31" t="n">
        <f aca="false">H5</f>
        <v>3.74555</v>
      </c>
      <c r="P5" s="31" t="n">
        <f aca="false">I5</f>
        <v>14.9822</v>
      </c>
    </row>
    <row r="6" customFormat="false" ht="15" hidden="false" customHeight="false" outlineLevel="0" collapsed="false">
      <c r="B6" s="22" t="n">
        <v>16</v>
      </c>
      <c r="C6" s="19" t="n">
        <f aca="false">B6*1000</f>
        <v>16000</v>
      </c>
      <c r="D6" s="26" t="n">
        <f aca="false">(kv_per_token*C6+dn_state_mb*1000000)/1000000000</f>
        <v>1.123576</v>
      </c>
      <c r="E6" s="27" t="n">
        <f aca="false">INT(KV_budget_GB/D6)</f>
        <v>53</v>
      </c>
      <c r="F6" s="28" t="n">
        <f aca="false">(2*N_active*C6+4*n_fa*(n_q*d_head)*C6^2)/(cards*tf_card*mfu*1000000000000)</f>
        <v>3.38204677595628</v>
      </c>
      <c r="G6" s="23" t="n">
        <f aca="false">D6/ddr_bw*1000</f>
        <v>5.61788</v>
      </c>
      <c r="H6" s="23" t="n">
        <f aca="false">D6/cxl_bw*1000</f>
        <v>7.02235</v>
      </c>
      <c r="I6" s="23" t="n">
        <f aca="false">D6/fl_bw*1000</f>
        <v>28.0894</v>
      </c>
      <c r="J6" s="29" t="n">
        <f aca="false">F6*1000/I6</f>
        <v>120.40295541935</v>
      </c>
      <c r="L6" s="30" t="n">
        <f aca="false">B6</f>
        <v>16</v>
      </c>
      <c r="M6" s="31" t="n">
        <f aca="false">F6*1000</f>
        <v>3382.04677595628</v>
      </c>
      <c r="N6" s="31" t="n">
        <f aca="false">G6</f>
        <v>5.61788</v>
      </c>
      <c r="O6" s="31" t="n">
        <f aca="false">H6</f>
        <v>7.02235</v>
      </c>
      <c r="P6" s="31" t="n">
        <f aca="false">I6</f>
        <v>28.0894</v>
      </c>
    </row>
    <row r="7" customFormat="false" ht="15" hidden="false" customHeight="false" outlineLevel="0" collapsed="false">
      <c r="B7" s="22" t="n">
        <v>32</v>
      </c>
      <c r="C7" s="19" t="n">
        <f aca="false">B7*1000</f>
        <v>32000</v>
      </c>
      <c r="D7" s="26" t="n">
        <f aca="false">(kv_per_token*C7+dn_state_mb*1000000)/1000000000</f>
        <v>2.172152</v>
      </c>
      <c r="E7" s="27" t="n">
        <f aca="false">INT(KV_budget_GB/D7)</f>
        <v>27</v>
      </c>
      <c r="F7" s="28" t="n">
        <f aca="false">(2*N_active*C7+4*n_fa*(n_q*d_head)*C7^2)/(cards*tf_card*mfu*1000000000000)</f>
        <v>7.4516843715847</v>
      </c>
      <c r="G7" s="23" t="n">
        <f aca="false">D7/ddr_bw*1000</f>
        <v>10.86076</v>
      </c>
      <c r="H7" s="23" t="n">
        <f aca="false">D7/cxl_bw*1000</f>
        <v>13.57595</v>
      </c>
      <c r="I7" s="23" t="n">
        <f aca="false">D7/fl_bw*1000</f>
        <v>54.3038</v>
      </c>
      <c r="J7" s="29" t="n">
        <f aca="false">F7*1000/I7</f>
        <v>137.222153359152</v>
      </c>
      <c r="L7" s="30" t="n">
        <f aca="false">B7</f>
        <v>32</v>
      </c>
      <c r="M7" s="31" t="n">
        <f aca="false">F7*1000</f>
        <v>7451.6843715847</v>
      </c>
      <c r="N7" s="31" t="n">
        <f aca="false">G7</f>
        <v>10.86076</v>
      </c>
      <c r="O7" s="31" t="n">
        <f aca="false">H7</f>
        <v>13.57595</v>
      </c>
      <c r="P7" s="31" t="n">
        <f aca="false">I7</f>
        <v>54.3038</v>
      </c>
    </row>
    <row r="8" customFormat="false" ht="15" hidden="false" customHeight="false" outlineLevel="0" collapsed="false">
      <c r="B8" s="22" t="n">
        <v>64</v>
      </c>
      <c r="C8" s="19" t="n">
        <f aca="false">B8*1000</f>
        <v>64000</v>
      </c>
      <c r="D8" s="26" t="n">
        <f aca="false">(kv_per_token*C8+dn_state_mb*1000000)/1000000000</f>
        <v>4.269304</v>
      </c>
      <c r="E8" s="27" t="n">
        <f aca="false">INT(KV_budget_GB/D8)</f>
        <v>13</v>
      </c>
      <c r="F8" s="28" t="n">
        <f aca="false">(2*N_active*C8+4*n_fa*(n_q*d_head)*C8^2)/(cards*tf_card*mfu*1000000000000)</f>
        <v>17.6537320218579</v>
      </c>
      <c r="G8" s="23" t="n">
        <f aca="false">D8/ddr_bw*1000</f>
        <v>21.34652</v>
      </c>
      <c r="H8" s="23" t="n">
        <f aca="false">D8/cxl_bw*1000</f>
        <v>26.68315</v>
      </c>
      <c r="I8" s="23" t="n">
        <f aca="false">D8/fl_bw*1000</f>
        <v>106.7326</v>
      </c>
      <c r="J8" s="29" t="n">
        <f aca="false">F8*1000/I8</f>
        <v>165.401498903408</v>
      </c>
      <c r="L8" s="30" t="n">
        <f aca="false">B8</f>
        <v>64</v>
      </c>
      <c r="M8" s="31" t="n">
        <f aca="false">F8*1000</f>
        <v>17653.7320218579</v>
      </c>
      <c r="N8" s="31" t="n">
        <f aca="false">G8</f>
        <v>21.34652</v>
      </c>
      <c r="O8" s="31" t="n">
        <f aca="false">H8</f>
        <v>26.68315</v>
      </c>
      <c r="P8" s="31" t="n">
        <f aca="false">I8</f>
        <v>106.7326</v>
      </c>
    </row>
    <row r="10" customFormat="false" ht="15" hidden="false" customHeight="false" outlineLevel="0" collapsed="false">
      <c r="B10" s="32" t="s">
        <v>83</v>
      </c>
    </row>
    <row r="11" customFormat="false" ht="15" hidden="false" customHeight="false" outlineLevel="0" collapsed="false">
      <c r="B11" s="3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72"/>
  </cols>
  <sheetData>
    <row r="1" customFormat="false" ht="16.15" hidden="false" customHeight="false" outlineLevel="0" collapsed="false">
      <c r="B1" s="1" t="s">
        <v>85</v>
      </c>
    </row>
    <row r="3" customFormat="false" ht="15" hidden="false" customHeight="false" outlineLevel="0" collapsed="false">
      <c r="B3" s="33" t="s">
        <v>86</v>
      </c>
    </row>
    <row r="4" customFormat="false" ht="15" hidden="false" customHeight="false" outlineLevel="0" collapsed="false">
      <c r="B4" s="25" t="s">
        <v>87</v>
      </c>
      <c r="C4" s="34" t="s">
        <v>88</v>
      </c>
    </row>
    <row r="5" customFormat="false" ht="15" hidden="false" customHeight="false" outlineLevel="0" collapsed="false">
      <c r="B5" s="25" t="s">
        <v>89</v>
      </c>
      <c r="C5" s="34" t="s">
        <v>90</v>
      </c>
    </row>
    <row r="6" customFormat="false" ht="15" hidden="false" customHeight="false" outlineLevel="0" collapsed="false">
      <c r="B6" s="25" t="s">
        <v>91</v>
      </c>
      <c r="C6" s="34" t="s">
        <v>54</v>
      </c>
    </row>
    <row r="7" customFormat="false" ht="15" hidden="false" customHeight="false" outlineLevel="0" collapsed="false">
      <c r="B7" s="25" t="s">
        <v>92</v>
      </c>
      <c r="C7" s="34" t="s">
        <v>57</v>
      </c>
    </row>
    <row r="8" customFormat="false" ht="15" hidden="false" customHeight="false" outlineLevel="0" collapsed="false">
      <c r="B8" s="25" t="s">
        <v>93</v>
      </c>
      <c r="C8" s="34" t="s">
        <v>94</v>
      </c>
    </row>
    <row r="9" customFormat="false" ht="15" hidden="false" customHeight="false" outlineLevel="0" collapsed="false">
      <c r="B9" s="33"/>
    </row>
    <row r="10" customFormat="false" ht="15" hidden="false" customHeight="false" outlineLevel="0" collapsed="false">
      <c r="B10" s="33" t="s">
        <v>95</v>
      </c>
    </row>
    <row r="11" customFormat="false" ht="15" hidden="false" customHeight="false" outlineLevel="0" collapsed="false">
      <c r="B11" s="25" t="s">
        <v>96</v>
      </c>
      <c r="C11" s="34" t="s">
        <v>97</v>
      </c>
    </row>
    <row r="12" customFormat="false" ht="15" hidden="false" customHeight="false" outlineLevel="0" collapsed="false">
      <c r="B12" s="25" t="s">
        <v>98</v>
      </c>
      <c r="C12" s="34" t="s">
        <v>99</v>
      </c>
    </row>
    <row r="13" customFormat="false" ht="15" hidden="false" customHeight="false" outlineLevel="0" collapsed="false">
      <c r="B13" s="25" t="s">
        <v>100</v>
      </c>
      <c r="C13" s="34" t="s">
        <v>101</v>
      </c>
    </row>
    <row r="14" customFormat="false" ht="15" hidden="false" customHeight="false" outlineLevel="0" collapsed="false">
      <c r="B14" s="33"/>
    </row>
    <row r="15" customFormat="false" ht="15" hidden="false" customHeight="false" outlineLevel="0" collapsed="false">
      <c r="B15" s="33" t="s">
        <v>102</v>
      </c>
    </row>
    <row r="16" customFormat="false" ht="15" hidden="false" customHeight="false" outlineLevel="0" collapsed="false">
      <c r="B16" s="25" t="s">
        <v>103</v>
      </c>
      <c r="C16" s="34" t="s">
        <v>104</v>
      </c>
    </row>
    <row r="17" customFormat="false" ht="15" hidden="false" customHeight="false" outlineLevel="0" collapsed="false">
      <c r="B17" s="25" t="s">
        <v>105</v>
      </c>
      <c r="C17" s="34" t="s">
        <v>106</v>
      </c>
    </row>
    <row r="18" customFormat="false" ht="15" hidden="false" customHeight="false" outlineLevel="0" collapsed="false">
      <c r="B18" s="33"/>
    </row>
    <row r="19" customFormat="false" ht="15" hidden="false" customHeight="false" outlineLevel="0" collapsed="false">
      <c r="B19" s="25" t="s">
        <v>107</v>
      </c>
      <c r="C19" s="34" t="s">
        <v>108</v>
      </c>
    </row>
    <row r="20" customFormat="false" ht="15" hidden="false" customHeight="false" outlineLevel="0" collapsed="false">
      <c r="B20" s="2" t="s">
        <v>109</v>
      </c>
      <c r="C20" s="3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2026-09-04T01:03:49Z</dcterms:created>
  <dc:creator>openpyxl</dc:creator>
  <dc:description/>
  <dc:language>en-US</dc:language>
  <cp:lastModifiedBy/>
  <dcterms:modified xsi:type="dcterms:W3CDTF">2026-09-04T01:03:51Z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