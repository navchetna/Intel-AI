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PU_Slicing" sheetId="2" state="visible" r:id="rId4"/>
    <sheet name="Tech_Matrix" sheetId="3" state="visible" r:id="rId5"/>
    <sheet name="Concurrency" sheetId="4" state="visible" r:id="rId6"/>
    <sheet name="OSS_Stack" sheetId="5" state="visible" r:id="rId7"/>
    <sheet name="Vendors" sheetId="6" state="visible" r:id="rId8"/>
    <sheet name="Licensing" sheetId="7" state="visible" r:id="rId9"/>
    <sheet name="Node_Licensing" sheetId="8" state="visible" r:id="rId10"/>
    <sheet name="Corrections" sheetId="9" state="visible" r:id="rId11"/>
    <sheet name="Open_Questions" sheetId="10" state="visible" r:id="rId12"/>
    <sheet name="Sources" sheetId="11" state="visible" r:id="rId13"/>
  </sheets>
  <definedNames>
    <definedName function="false" hidden="true" localSheetId="3" name="_xlnm._FilterDatabase" vbProcedure="false">Concurrency!$A$4:$G$10</definedName>
    <definedName function="false" hidden="true" localSheetId="8" name="_xlnm._FilterDatabase" vbProcedure="false">Corrections!$A$4:$E$8</definedName>
    <definedName function="false" hidden="true" localSheetId="1" name="_xlnm._FilterDatabase" vbProcedure="false">GPU_Slicing!$A$4:$R$14</definedName>
    <definedName function="false" hidden="true" localSheetId="6" name="_xlnm._FilterDatabase" vbProcedure="false">Licensing!$A$4:$G$17</definedName>
    <definedName function="false" hidden="true" localSheetId="9" name="_xlnm._FilterDatabase" vbProcedure="false">Open_Questions!$A$4:$E$12</definedName>
    <definedName function="false" hidden="true" localSheetId="4" name="_xlnm._FilterDatabase" vbProcedure="false">OSS_Stack!$A$4:$E$11</definedName>
    <definedName function="false" hidden="true" localSheetId="10" name="_xlnm._FilterDatabase" vbProcedure="false">Sources!$A$4:$D$19</definedName>
    <definedName function="false" hidden="true" localSheetId="2" name="_xlnm._FilterDatabase" vbProcedure="false">Tech_Matrix!$A$4:$I$14</definedName>
    <definedName function="false" hidden="true" localSheetId="5" name="_xlnm._FilterDatabase" vbProcedure="false">Vendors!$A$4:$F$11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<sst xmlns="http://schemas.openxmlformats.org/spreadsheetml/2006/main" count="646" uniqueCount="447">
  <si>
    <t xml:space="preserve">GPU Orchestration, Licensing &amp; Virtualization Reference</t>
  </si>
  <si>
    <t xml:space="preserve">Companion to Intel_Xeon6_Workload_SKU_Recommendations.xlsx · Agentic Systems Capacity Planner · compiled 27 Sep 2026</t>
  </si>
  <si>
    <t xml:space="preserve">Sheet</t>
  </si>
  <si>
    <t xml:space="preserve">Contents</t>
  </si>
  <si>
    <t xml:space="preserve">Vendors</t>
  </si>
  <si>
    <t xml:space="preserve">Orchestration vendor landscape: model, GPU plumbing, AI layer</t>
  </si>
  <si>
    <t xml:space="preserve">Licensing</t>
  </si>
  <si>
    <t xml:space="preserve">Licensing metric per stack and how accelerators / slices are counted</t>
  </si>
  <si>
    <t xml:space="preserve">Node_Licensing</t>
  </si>
  <si>
    <t xml:space="preserve">Formula-driven per-node licence counts for Xeon 6 GPU hosts (edit blue cells)</t>
  </si>
  <si>
    <t xml:space="preserve">Concurrency</t>
  </si>
  <si>
    <t xml:space="preserve">Concurrency mechanisms ranked for small deep-learning models</t>
  </si>
  <si>
    <t xml:space="preserve">OSS_Stack</t>
  </si>
  <si>
    <t xml:space="preserve">Recommended open-source slicing + orchestration stack and caveats</t>
  </si>
  <si>
    <t xml:space="preserve">GPU_Slicing</t>
  </si>
  <si>
    <t xml:space="preserve">Smallest slice per GPU: MIG, MIG-backed vGPU, time-sliced vGPU (compute); computed slot counts</t>
  </si>
  <si>
    <t xml:space="preserve">Tech_Matrix</t>
  </si>
  <si>
    <t xml:space="preserve">Virtualization / sharing technology support per GPU</t>
  </si>
  <si>
    <t xml:space="preserve">Corrections</t>
  </si>
  <si>
    <t xml:space="preserve">Claims corrected during this work, with provenance change</t>
  </si>
  <si>
    <t xml:space="preserve">Open_Questions</t>
  </si>
  <si>
    <t xml:space="preserve">Unresolved [U] items to confirm with vendors</t>
  </si>
  <si>
    <t xml:space="preserve">Sources</t>
  </si>
  <si>
    <t xml:space="preserve">Primary and third-party sources used</t>
  </si>
  <si>
    <t xml:space="preserve">Provenance tag</t>
  </si>
  <si>
    <t xml:space="preserve">Meaning</t>
  </si>
  <si>
    <t xml:space="preserve">[I]</t>
  </si>
  <si>
    <t xml:space="preserve">Vendor-published (NVIDIA, Red Hat, Broadcom, SUSE, Canonical, Nutanix docs)</t>
  </si>
  <si>
    <t xml:space="preserve">[D]</t>
  </si>
  <si>
    <t xml:space="preserve">Derived — formula or reasoning shown</t>
  </si>
  <si>
    <t xml:space="preserve">[3P]</t>
  </si>
  <si>
    <t xml:space="preserve">Third-party (reseller, analyst, cloud provider, press)</t>
  </si>
  <si>
    <t xml:space="preserve">[U]</t>
  </si>
  <si>
    <t xml:space="preserve">Unpublished / unverified / conflicting — confirm before use</t>
  </si>
  <si>
    <t xml:space="preserve">[N]</t>
  </si>
  <si>
    <t xml:space="preserve">Not applicable</t>
  </si>
  <si>
    <t xml:space="preserve">Cell colour</t>
  </si>
  <si>
    <t xml:space="preserve">Blue text on yellow</t>
  </si>
  <si>
    <t xml:space="preserve">Input / assumption — edit these (Node_Licensing, GPU_Slicing inputs)</t>
  </si>
  <si>
    <t xml:space="preserve">Black text</t>
  </si>
  <si>
    <t xml:space="preserve">Formula — do not overwrite</t>
  </si>
  <si>
    <t xml:space="preserve">Key principles</t>
  </si>
  <si>
    <t xml:space="preserve">1. The smallest slice is set by the GPU, not the orchestrator; the orchestrator only decides which slicing modes it exposes.</t>
  </si>
  <si>
    <t xml:space="preserve">2. Every vendor licenses physical GPUs, not slices — partitioning a GPU does not multiply licence count.</t>
  </si>
  <si>
    <t xml:space="preserve">3. MIG = smallest hardware-isolated unit; time-sliced vGPU = smallest memory-isolated unit; MPS/HAMi/in-process = smallest schedulable unit (no hard isolation).</t>
  </si>
  <si>
    <t xml:space="preserve">4. For small DL models: consolidate (many models per serving process) before you partition.</t>
  </si>
  <si>
    <t xml:space="preserve">5. MIG on HGX / NVL72 disables NVLink P2P on that GPU — MIG and tensor-parallel fabric use are per-GPU either/or.</t>
  </si>
  <si>
    <t xml:space="preserve">Smallest Slice per GPU</t>
  </si>
  <si>
    <t xml:space="preserve">Source: NVIDIA AI Enterprise 8.2 vGPU reference (updated 2 Sep 2026) unless tagged otherwise. Blue/yellow = inputs.</t>
  </si>
  <si>
    <t xml:space="preserve">GPU</t>
  </si>
  <si>
    <t xml:space="preserve">Tier</t>
  </si>
  <si>
    <t xml:space="preserve">Memory (GB)</t>
  </si>
  <si>
    <t xml:space="preserve">MIG smallest profile</t>
  </si>
  <si>
    <t xml:space="preserve">MIG min (GB)</t>
  </si>
  <si>
    <t xml:space="preserve">MIG max instances</t>
  </si>
  <si>
    <t xml:space="preserve">MIG-backed vGPU min (GB)</t>
  </si>
  <si>
    <t xml:space="preserve">MIG-backed vGPU max / GPU</t>
  </si>
  <si>
    <t xml:space="preserve">Time-sliced vGPU (compute) min (GB)</t>
  </si>
  <si>
    <t xml:space="preserve">Time-sliced vGPU max / GPU (equal-size)</t>
  </si>
  <si>
    <t xml:space="preserve">vGPU inside MIG slice?</t>
  </si>
  <si>
    <t xml:space="preserve">Deployment</t>
  </si>
  <si>
    <t xml:space="preserve">Smallest isolated unit (GB)</t>
  </si>
  <si>
    <t xml:space="preserve">Max isolated slots / GPU</t>
  </si>
  <si>
    <t xml:space="preserve">Isolated slots / 8-GPU node</t>
  </si>
  <si>
    <t xml:space="preserve">Memory wasted at floor for a 1 GB model (%)</t>
  </si>
  <si>
    <t xml:space="preserve">Notes</t>
  </si>
  <si>
    <t xml:space="preserve">Tag</t>
  </si>
  <si>
    <t xml:space="preserve">L4</t>
  </si>
  <si>
    <t xml:space="preserve">Entry (legacy)</t>
  </si>
  <si>
    <t xml:space="preserve">none</t>
  </si>
  <si>
    <t xml:space="preserve">No</t>
  </si>
  <si>
    <t xml:space="preserve">VM or bare metal</t>
  </si>
  <si>
    <t xml:space="preserve">No MIG; 4 GB × 4 in mixed-size mode</t>
  </si>
  <si>
    <t xml:space="preserve">RTX PRO 4500 BSE</t>
  </si>
  <si>
    <t xml:space="preserve">Entry</t>
  </si>
  <si>
    <t xml:space="preserve">1g.16gb</t>
  </si>
  <si>
    <t xml:space="preserve">Yes</t>
  </si>
  <si>
    <t xml:space="preserve">vGPU 8 GB: 4 inside a 2g slice / 2 inside a 1g slice. Graphics (vPC) profiles go to 2 GB — not for compute</t>
  </si>
  <si>
    <t xml:space="preserve">RTX PRO 6000 BSE</t>
  </si>
  <si>
    <t xml:space="preserve">Mid</t>
  </si>
  <si>
    <t xml:space="preserve">1g.24gb</t>
  </si>
  <si>
    <t xml:space="preserve">DC-1-8C: 3 per 1g slice × 4 slices = 12 [D]</t>
  </si>
  <si>
    <t xml:space="preserve">H100 PCIe 80GB</t>
  </si>
  <si>
    <t xml:space="preserve">1g.10gb</t>
  </si>
  <si>
    <t xml:space="preserve">Mixed-size mode: 4 GB × 16</t>
  </si>
  <si>
    <t xml:space="preserve">H100 NVL 94GB (variant)</t>
  </si>
  <si>
    <t xml:space="preserve">1g.12gb</t>
  </si>
  <si>
    <t xml:space="preserve">H200 NVL</t>
  </si>
  <si>
    <t xml:space="preserve">Mid (HBM)</t>
  </si>
  <si>
    <t xml:space="preserve">1g.18gb</t>
  </si>
  <si>
    <t xml:space="preserve">Supersedes earlier 16.5 GB figure</t>
  </si>
  <si>
    <t xml:space="preserve">HGX B200 (reference)</t>
  </si>
  <si>
    <t xml:space="preserve">High (prior gen)</t>
  </si>
  <si>
    <t xml:space="preserve">1g.23gb</t>
  </si>
  <si>
    <t xml:space="preserve">Time-sliced vGPU = full GPU only</t>
  </si>
  <si>
    <t xml:space="preserve">HGX B300 (reference)</t>
  </si>
  <si>
    <t xml:space="preserve">High</t>
  </si>
  <si>
    <t xml:space="preserve">1g.34gb</t>
  </si>
  <si>
    <t xml:space="preserve">Time-sliced vGPU = full GPU only; MIG disables NVLink P2P</t>
  </si>
  <si>
    <t xml:space="preserve">GB200 NVL72 (per GPU)</t>
  </si>
  <si>
    <t xml:space="preserve">High (rack)</t>
  </si>
  <si>
    <t xml:space="preserve">~1g.23gb</t>
  </si>
  <si>
    <t xml:space="preserve">Bare metal only</t>
  </si>
  <si>
    <t xml:space="preserve">Profile extrapolated from HGX B200; verify with nvidia-smi mig -lgip</t>
  </si>
  <si>
    <t xml:space="preserve">[D] / [I]</t>
  </si>
  <si>
    <t xml:space="preserve">GB300 NVL72 (per GPU)</t>
  </si>
  <si>
    <t xml:space="preserve">~1g.34gb</t>
  </si>
  <si>
    <t xml:space="preserve">Bare metal only (expected)</t>
  </si>
  <si>
    <t xml:space="preserve">Profile extrapolated from HGX B300; bare-metal-only assumed from GB200</t>
  </si>
  <si>
    <t xml:space="preserve">[D] / [U]</t>
  </si>
  <si>
    <t xml:space="preserve">Formulas: M = smallest of MIG / MIG-backed vGPU / time-sliced vGPU minimum; N = largest isolated count of the three; O = N × 8; P = share of the smallest isolated slice left idle by a 1 GB model. [D]</t>
  </si>
  <si>
    <t xml:space="preserve">Below these floors, only software sharing applies (MPS ≤48 clients, HAMi/KAI fractions, many models per Triton/vLLM process) — no hard memory/fault isolation.</t>
  </si>
  <si>
    <t xml:space="preserve">Technology Support Matrix</t>
  </si>
  <si>
    <t xml:space="preserve">✓ supported · ✗ not supported · all vGPU modes need NVAIE and a supported hypervisor (ESXi, certified KVM)</t>
  </si>
  <si>
    <t xml:space="preserve">Technology</t>
  </si>
  <si>
    <t xml:space="preserve">Isolation</t>
  </si>
  <si>
    <t xml:space="preserve">RTX PRO 4500</t>
  </si>
  <si>
    <t xml:space="preserve">RTX PRO 6000</t>
  </si>
  <si>
    <t xml:space="preserve">H100 PCIe</t>
  </si>
  <si>
    <t xml:space="preserve">GB200 / GB300 NVL72</t>
  </si>
  <si>
    <t xml:space="preserve">PCIe passthrough (whole GPU → VM)</t>
  </si>
  <si>
    <t xml:space="preserve">Full</t>
  </si>
  <si>
    <t xml:space="preserve">✓</t>
  </si>
  <si>
    <t xml:space="preserve">✗ (bare metal)</t>
  </si>
  <si>
    <t xml:space="preserve">[I] / [U]</t>
  </si>
  <si>
    <t xml:space="preserve">MIG (hardware partitions)</t>
  </si>
  <si>
    <t xml:space="preserve">Memory + fault + QoS</t>
  </si>
  <si>
    <t xml:space="preserve">✗</t>
  </si>
  <si>
    <t xml:space="preserve">✓ (2)</t>
  </si>
  <si>
    <t xml:space="preserve">✓ (4)</t>
  </si>
  <si>
    <t xml:space="preserve">✓ (7)</t>
  </si>
  <si>
    <t xml:space="preserve">✓ (7); no NVLink P2P while on</t>
  </si>
  <si>
    <t xml:space="preserve">MIG-backed vGPU</t>
  </si>
  <si>
    <t xml:space="preserve">Same as MIG</t>
  </si>
  <si>
    <t xml:space="preserve">vGPU time-sliced inside a MIG slice</t>
  </si>
  <si>
    <t xml:space="preserve">Memory isolated; compute time-shared</t>
  </si>
  <si>
    <t xml:space="preserve">Time-sliced vGPU for compute (C-series)</t>
  </si>
  <si>
    <t xml:space="preserve">Graphics vGPU (vPC / vWS)</t>
  </si>
  <si>
    <t xml:space="preserve">Memory isolated</t>
  </si>
  <si>
    <t xml:space="preserve">Kubernetes time-slicing (GPU Operator)</t>
  </si>
  <si>
    <t xml:space="preserve">None</t>
  </si>
  <si>
    <t xml:space="preserve">MPS (≤48 clients; not on MIG in GPU Operator)</t>
  </si>
  <si>
    <t xml:space="preserve">Process-level</t>
  </si>
  <si>
    <t xml:space="preserve">HAMi / KAI fractional (soft memory cap)</t>
  </si>
  <si>
    <t xml:space="preserve">Soft</t>
  </si>
  <si>
    <t xml:space="preserve">✓ ([U] on Grace/ARM)</t>
  </si>
  <si>
    <t xml:space="preserve">Many models per serving process (Triton/vLLM)</t>
  </si>
  <si>
    <t xml:space="preserve">Concurrency Options for Small DL Models</t>
  </si>
  <si>
    <t xml:space="preserve">Ranked best-first for maximum concurrency of small models</t>
  </si>
  <si>
    <t xml:space="preserve">Rank</t>
  </si>
  <si>
    <t xml:space="preserve">Mechanism</t>
  </si>
  <si>
    <t xml:space="preserve">How work runs</t>
  </si>
  <si>
    <t xml:space="preserve">Concurrency ceiling</t>
  </si>
  <si>
    <t xml:space="preserve">When to use</t>
  </si>
  <si>
    <t xml:space="preserve">One serving process per GPU, many models / instances (Triton instance groups + dynamic batching, vLLM)</t>
  </si>
  <si>
    <t xml:space="preserve">Parallel on SMs; requests batched</t>
  </si>
  <si>
    <t xml:space="preserve">None between models</t>
  </si>
  <si>
    <t xml:space="preserve">Bounded by memory + batching; highest throughput</t>
  </si>
  <si>
    <t xml:space="preserve">Single owner / single service</t>
  </si>
  <si>
    <t xml:space="preserve">MPS</t>
  </si>
  <si>
    <t xml:space="preserve">Kernels from several processes run concurrently</t>
  </si>
  <si>
    <t xml:space="preserve">Process-level; a fatal fault can hit all clients</t>
  </si>
  <si>
    <t xml:space="preserve">Max 48 replicas/GPU (GPU Operator)</t>
  </si>
  <si>
    <t xml:space="preserve">Separate containers must own processes; no MIG</t>
  </si>
  <si>
    <t xml:space="preserve">Time-slicing (GPU Operator)</t>
  </si>
  <si>
    <t xml:space="preserve">Pods take turns on whole GPU</t>
  </si>
  <si>
    <t xml:space="preserve">No memory or fault isolation</t>
  </si>
  <si>
    <t xml:space="preserve">Replica count via ConfigMap; latency grows per tenant</t>
  </si>
  <si>
    <t xml:space="preserve">Bursty, latency-tolerant; can run inside a MIG slice</t>
  </si>
  <si>
    <t xml:space="preserve">Time-sliced vGPU (VMs)</t>
  </si>
  <si>
    <t xml:space="preserve">VMs take turns; framebuffer partitioned</t>
  </si>
  <si>
    <t xml:space="preserve">4–8 GB floors; up to 32/GPU (H200 NVL)</t>
  </si>
  <si>
    <t xml:space="preserve">VM-based multi-tenancy</t>
  </si>
  <si>
    <t xml:space="preserve">MIG (+ time-slicing inside)</t>
  </si>
  <si>
    <t xml:space="preserve">Hard spatial partitions</t>
  </si>
  <si>
    <t xml:space="preserve">2 / 4 / 7 per GPU</t>
  </si>
  <si>
    <t xml:space="preserve">Untrusted multi-tenant; guardrail isolation</t>
  </si>
  <si>
    <t xml:space="preserve">—</t>
  </si>
  <si>
    <t xml:space="preserve">CPU inference on Xeon 6 with AMX</t>
  </si>
  <si>
    <t xml:space="preserve">CPU cores</t>
  </si>
  <si>
    <t xml:space="preserve">OS-level</t>
  </si>
  <si>
    <t xml:space="preserve">Scales with cores</t>
  </si>
  <si>
    <t xml:space="preserve">ResNet/BERT-class models; avoids GPU licensing — benchmark first</t>
  </si>
  <si>
    <t xml:space="preserve">Open-Source Slicing + Orchestration Stack</t>
  </si>
  <si>
    <t xml:space="preserve">Best free combination; together covers most of what Run:ai sells</t>
  </si>
  <si>
    <t xml:space="preserve">Layer</t>
  </si>
  <si>
    <t xml:space="preserve">Pick</t>
  </si>
  <si>
    <t xml:space="preserve">What it gives you</t>
  </si>
  <si>
    <t xml:space="preserve">Caveat</t>
  </si>
  <si>
    <t xml:space="preserve">Kubernetes</t>
  </si>
  <si>
    <t xml:space="preserve">Upstream K8s, RKE2, or OKD</t>
  </si>
  <si>
    <t xml:space="preserve">Free; no vendor support</t>
  </si>
  <si>
    <t xml:space="preserve">Carry support in-house</t>
  </si>
  <si>
    <t xml:space="preserve">GPU plumbing</t>
  </si>
  <si>
    <t xml:space="preserve">NVIDIA GPU Operator</t>
  </si>
  <si>
    <t xml:space="preserve">Drivers, device plugin, MIG manager, time-slicing, MPS</t>
  </si>
  <si>
    <t xml:space="preserve">Disable its device plugin when using HAMi</t>
  </si>
  <si>
    <t xml:space="preserve">Scheduler</t>
  </si>
  <si>
    <t xml:space="preserve">KAI Scheduler (Apache 2.0)</t>
  </si>
  <si>
    <t xml:space="preserve">Gang scheduling, fractional GPU via annotations, defragmentation</t>
  </si>
  <si>
    <t xml:space="preserve">Fractions not memory-enforced on their own</t>
  </si>
  <si>
    <t xml:space="preserve">Enforced soft slicing</t>
  </si>
  <si>
    <t xml:space="preserve">HAMi (CNCF sandbox, Apache 2.0)</t>
  </si>
  <si>
    <t xml:space="preserve">Memory / core-share limits via CUDA interception; dynamic MIG; no app changes</t>
  </si>
  <si>
    <t xml:space="preserve">Bypassed by Docker-in-Docker or direct driver-API calls; not a security boundary</t>
  </si>
  <si>
    <t xml:space="preserve">Glue</t>
  </si>
  <si>
    <t xml:space="preserve">KAI v0.16 hamicore binder plugin</t>
  </si>
  <si>
    <t xml:space="preserve">Writes HAMi-core memory limits for KAI fractional pods</t>
  </si>
  <si>
    <t xml:space="preserve">Opt-in</t>
  </si>
  <si>
    <t xml:space="preserve">Serving</t>
  </si>
  <si>
    <t xml:space="preserve">Triton / vLLM</t>
  </si>
  <si>
    <t xml:space="preserve">Many models per process — the main concurrency lever</t>
  </si>
  <si>
    <t xml:space="preserve">HPC alternative</t>
  </si>
  <si>
    <t xml:space="preserve">Slurm</t>
  </si>
  <si>
    <t xml:space="preserve">Native MIG + MPS scheduling</t>
  </si>
  <si>
    <t xml:space="preserve">Now NVIDIA-owned (SchedMD)</t>
  </si>
  <si>
    <t xml:space="preserve">Orchestration Vendor Landscape</t>
  </si>
  <si>
    <t xml:space="preserve">GPU/CPU orchestration platforms for on-prem enterprise AI</t>
  </si>
  <si>
    <t xml:space="preserve">Vendor / stack</t>
  </si>
  <si>
    <t xml:space="preserve">Deployment model</t>
  </si>
  <si>
    <t xml:space="preserve">How GPUs are orchestrated</t>
  </si>
  <si>
    <t xml:space="preserve">AI layer on top</t>
  </si>
  <si>
    <t xml:space="preserve">Red Hat OpenShift</t>
  </si>
  <si>
    <t xml:space="preserve">Bare-metal Kubernetes; VMs via OpenShift Virtualization</t>
  </si>
  <si>
    <t xml:space="preserve">NVIDIA GPU Operator (driver, device plugin, MIG manager, time-slicing, MPS)</t>
  </si>
  <si>
    <t xml:space="preserve">OpenShift AI; Red Hat AI Enterprise; Red Hat AI Inference (vLLM, llm-d)</t>
  </si>
  <si>
    <t xml:space="preserve">OKD is the free upstream</t>
  </si>
  <si>
    <t xml:space="preserve">Broadcom VMware VCF</t>
  </si>
  <si>
    <t xml:space="preserve">Hypervisor-first; Kubernetes via VKS</t>
  </si>
  <si>
    <t xml:space="preserve">vGPU host driver in ESXi; GPU-ready VKS clusters with GPU Operator + DCGM; VKS runtime ships with VCF, no extra licensing</t>
  </si>
  <si>
    <t xml:space="preserve">Private AI Foundation with NVIDIA / VCF Private AI Services</t>
  </si>
  <si>
    <t xml:space="preserve">Per-core licensing penalises high-core Xeon 6 hosts</t>
  </si>
  <si>
    <t xml:space="preserve">SUSE</t>
  </si>
  <si>
    <t xml:space="preserve">Rancher Prime + RKE2 / K3s</t>
  </si>
  <si>
    <t xml:space="preserve">GPU Operator; Rancher Prime manages any CNCF-certified distro (EKS, AKS, GKE, RKE2, K3s)</t>
  </si>
  <si>
    <t xml:space="preserve">SUSE AI</t>
  </si>
  <si>
    <t xml:space="preserve">SUSE AI licence metric unpublished</t>
  </si>
  <si>
    <t xml:space="preserve">Canonical</t>
  </si>
  <si>
    <t xml:space="preserve">Charmed / Canonical Kubernetes on Ubuntu</t>
  </si>
  <si>
    <t xml:space="preserve">GPU Operator; Charmed Kubernetes supported on NVAIE incl. vGPU heterogeneous profiles</t>
  </si>
  <si>
    <t xml:space="preserve">Charmed Kubeflow, MLflow</t>
  </si>
  <si>
    <t xml:space="preserve">Kubeflow has no licence fees</t>
  </si>
  <si>
    <t xml:space="preserve">Nutanix</t>
  </si>
  <si>
    <t xml:space="preserve">HCI (AHV) + NKP; NKP Metal for bare metal</t>
  </si>
  <si>
    <t xml:space="preserve">NKP ships GPU Operator as platform component; serves Kubernetes DRA APIs</t>
  </si>
  <si>
    <t xml:space="preserve">Nutanix Enterprise AI (NAI)</t>
  </si>
  <si>
    <t xml:space="preserve">Acquired Ryax for GPU workload orchestration</t>
  </si>
  <si>
    <t xml:space="preserve">[I] / [3P]</t>
  </si>
  <si>
    <t xml:space="preserve">NVIDIA Run:ai</t>
  </si>
  <si>
    <t xml:space="preserve">Scheduler overlay on any of the above</t>
  </si>
  <si>
    <t xml:space="preserve">Fractional GPUs, department quotas, over-quota borrowing, fair-share, preemption</t>
  </si>
  <si>
    <t xml:space="preserve">n/a — scheduler</t>
  </si>
  <si>
    <t xml:space="preserve">Self-hosted included in NVAIE; core open-sourced as KAI Scheduler (Apache 2.0, Apr 2025)</t>
  </si>
  <si>
    <t xml:space="preserve">Slurm (SchedMD)</t>
  </si>
  <si>
    <t xml:space="preserve">HPC batch scheduler</t>
  </si>
  <si>
    <t xml:space="preserve">Native MIG and MPS gres scheduling</t>
  </si>
  <si>
    <t xml:space="preserve">n/a</t>
  </si>
  <si>
    <t xml:space="preserve">NVIDIA now owns SchedMD</t>
  </si>
  <si>
    <t xml:space="preserve">Licensing Schemes</t>
  </si>
  <si>
    <t xml:space="preserve">Licensing stacks in three layers: platform (OS/K8s/hypervisor) + NVIDIA software + AI add-on</t>
  </si>
  <si>
    <t xml:space="preserve">Stack</t>
  </si>
  <si>
    <t xml:space="preserve">Metric</t>
  </si>
  <si>
    <t xml:space="preserve">GPU / slice treatment</t>
  </si>
  <si>
    <t xml:space="preserve">Price indicator</t>
  </si>
  <si>
    <t xml:space="preserve">Red Hat AI Enterprise</t>
  </si>
  <si>
    <t xml:space="preserve">AI platform</t>
  </si>
  <si>
    <t xml:space="preserve">Flat rate per node; unlimited GPUs, no core/socket limits; node restricted to AI use</t>
  </si>
  <si>
    <t xml:space="preserve">Unlimited, included</t>
  </si>
  <si>
    <t xml:space="preserve">NVL72: one 1-node sub per CPU tray (18 per rack)</t>
  </si>
  <si>
    <t xml:space="preserve">Red Hat OpenShift AI</t>
  </si>
  <si>
    <t xml:space="preserve">AI add-on</t>
  </si>
  <si>
    <t xml:space="preserve">Mirrors OpenShift units (core-pairs or bare-metal nodes) + AI Accelerator SKU per physical GPU</t>
  </si>
  <si>
    <t xml:space="preserve">1 SKU per physical GPU; vGPU slices of one GPU = 1 subscription</t>
  </si>
  <si>
    <t xml:space="preserve">Red Hat AI Inference / RHEL AI</t>
  </si>
  <si>
    <t xml:space="preserve">AI runtime</t>
  </si>
  <si>
    <t xml:space="preserve">Per physical accelerator; CPU cores irrelevant</t>
  </si>
  <si>
    <t xml:space="preserve">Per GPU</t>
  </si>
  <si>
    <t xml:space="preserve">Red Hat OpenShift (base)</t>
  </si>
  <si>
    <t xml:space="preserve">Platform</t>
  </si>
  <si>
    <t xml:space="preserve">Core-pair (2 cores / 4 vCPU) or bare-metal socket-pair</t>
  </si>
  <si>
    <t xml:space="preserve">Bare-metal SKU seen as 1–2 sockets up to 64 cores; stacking beyond 64 cores unconfirmed</t>
  </si>
  <si>
    <t xml:space="preserve">Broadcom VCF</t>
  </si>
  <si>
    <t xml:space="preserve">Per physical core; 16-core minimum per CPU socket</t>
  </si>
  <si>
    <t xml:space="preserve">Private AI Foundation add-on + NVIDIA vGPU licence; NVAIE bought separately</t>
  </si>
  <si>
    <t xml:space="preserve">$344.40 / core / yr (one partner quote, 96 cores, 1-yr)</t>
  </si>
  <si>
    <t xml:space="preserve">72-core per-order minimum contested (may apply to Tanzu Data SKUs only)</t>
  </si>
  <si>
    <t xml:space="preserve">SUSE Rancher Prime</t>
  </si>
  <si>
    <t xml:space="preserve">Per node per year</t>
  </si>
  <si>
    <t xml:space="preserve">SUSE AI subscription supersedes Prime entitlements</t>
  </si>
  <si>
    <t xml:space="preserve">[3P] / [I]</t>
  </si>
  <si>
    <t xml:space="preserve">Not published</t>
  </si>
  <si>
    <t xml:space="preserve">Confirm with SUSE</t>
  </si>
  <si>
    <t xml:space="preserve">Canonical Ubuntu Pro + Support</t>
  </si>
  <si>
    <t xml:space="preserve">Per node (24/7 or weekday)</t>
  </si>
  <si>
    <t xml:space="preserve">Covers Charmed Kubeflow and MLflow; Kubeflow itself has no licence fees</t>
  </si>
  <si>
    <t xml:space="preserve">Nutanix NKP</t>
  </si>
  <si>
    <t xml:space="preserve">Per physical core (bare metal) or vCPU (VMs); control-plane nodes free</t>
  </si>
  <si>
    <t xml:space="preserve">Aggregate GPU RAM across cluster, 1 GB increments</t>
  </si>
  <si>
    <t xml:space="preserve">Scales with GPU memory; slicing-neutral</t>
  </si>
  <si>
    <t xml:space="preserve">Only scheme proportional to GPU capacity</t>
  </si>
  <si>
    <t xml:space="preserve">NVIDIA AI Enterprise</t>
  </si>
  <si>
    <t xml:space="preserve">NVIDIA software</t>
  </si>
  <si>
    <t xml:space="preserve">Per physical GPU installed; multi-GPU boards need one per GPU</t>
  </si>
  <si>
    <t xml:space="preserve">$4,500/GPU/1-yr; $18,000/5-yr; $22,500 perpetual + 5-yr support</t>
  </si>
  <si>
    <t xml:space="preserve">Bundled 5-yr with H200 NVL; discounted with RTX PRO 4500/6000 (Lenovo); required for all vGPU modes</t>
  </si>
  <si>
    <t xml:space="preserve">Self-hosted included in NVAIE</t>
  </si>
  <si>
    <t xml:space="preserve">Included</t>
  </si>
  <si>
    <t xml:space="preserve">SaaS inclusion: NVIDIA docs conflict (8.1 notes vs sizing overview)</t>
  </si>
  <si>
    <t xml:space="preserve">NVIDIA datacenter driver (bare metal)</t>
  </si>
  <si>
    <t xml:space="preserve">Driver</t>
  </si>
  <si>
    <t xml:space="preserve">Free</t>
  </si>
  <si>
    <t xml:space="preserve">$0</t>
  </si>
  <si>
    <t xml:space="preserve">Enterprise support requires NVAIE</t>
  </si>
  <si>
    <t xml:space="preserve">Per-Node Licence Counts — Xeon 6 GPU Hosts</t>
  </si>
  <si>
    <t xml:space="preserve">Blue/yellow = inputs. GPU memory is looked up from GPU_Slicing. All outputs [D]; price inputs tagged.</t>
  </si>
  <si>
    <t xml:space="preserve">Assumptions</t>
  </si>
  <si>
    <t xml:space="preserve">NVAIE $/GPU/yr</t>
  </si>
  <si>
    <t xml:space="preserve">[I] NVIDIA list</t>
  </si>
  <si>
    <t xml:space="preserve">VCF $/core/yr</t>
  </si>
  <si>
    <t xml:space="preserve">[3P] one 2026 partner quote</t>
  </si>
  <si>
    <t xml:space="preserve">VCF min cores / socket</t>
  </si>
  <si>
    <t xml:space="preserve">[I] Broadcom</t>
  </si>
  <si>
    <t xml:space="preserve">OpenShift cores per core-pair</t>
  </si>
  <si>
    <t xml:space="preserve">[I] Red Hat</t>
  </si>
  <si>
    <t xml:space="preserve">Config</t>
  </si>
  <si>
    <t xml:space="preserve">CPU SKU</t>
  </si>
  <si>
    <t xml:space="preserve">Cores / socket</t>
  </si>
  <si>
    <t xml:space="preserve">Sockets</t>
  </si>
  <si>
    <t xml:space="preserve">GPUs / node</t>
  </si>
  <si>
    <t xml:space="preserve">Total cores</t>
  </si>
  <si>
    <t xml:space="preserve">VCF core licences</t>
  </si>
  <si>
    <t xml:space="preserve">VCF $/yr</t>
  </si>
  <si>
    <t xml:space="preserve">OpenShift core-pairs</t>
  </si>
  <si>
    <t xml:space="preserve">Red Hat AI Enterprise subs</t>
  </si>
  <si>
    <t xml:space="preserve">OpenShift AI accel. SKUs</t>
  </si>
  <si>
    <t xml:space="preserve">NVAIE licences</t>
  </si>
  <si>
    <t xml:space="preserve">NVAIE $/yr</t>
  </si>
  <si>
    <t xml:space="preserve">GPU GB / GPU</t>
  </si>
  <si>
    <t xml:space="preserve">Nutanix NAI GB entitlement</t>
  </si>
  <si>
    <t xml:space="preserve">A</t>
  </si>
  <si>
    <t xml:space="preserve">6747P</t>
  </si>
  <si>
    <t xml:space="preserve">B</t>
  </si>
  <si>
    <t xml:space="preserve">6767P</t>
  </si>
  <si>
    <t xml:space="preserve">C</t>
  </si>
  <si>
    <t xml:space="preserve">6776P</t>
  </si>
  <si>
    <t xml:space="preserve">D</t>
  </si>
  <si>
    <t xml:space="preserve">6960P</t>
  </si>
  <si>
    <t xml:space="preserve">E</t>
  </si>
  <si>
    <t xml:space="preserve">6962P</t>
  </si>
  <si>
    <t xml:space="preserve">Notes: OpenShift bare-metal socket-pair stacking above 64 cores is [U]. Red Hat AI Enterprise = 1 per node regardless of cores/GPUs [I]. H200 NVL includes 5-yr NVAIE — NVAIE $ overstates cost for that config [I]. CPU SKUs from Xeon 6 SKU workbook GPU-host rows.</t>
  </si>
  <si>
    <t xml:space="preserve">Corrections Log</t>
  </si>
  <si>
    <t xml:space="preserve">Claims corrected during this work</t>
  </si>
  <si>
    <t xml:space="preserve">#</t>
  </si>
  <si>
    <t xml:space="preserve">Earlier claim</t>
  </si>
  <si>
    <t xml:space="preserve">Corrected value</t>
  </si>
  <si>
    <t xml:space="preserve">Evidence</t>
  </si>
  <si>
    <t xml:space="preserve">Provenance change</t>
  </si>
  <si>
    <t xml:space="preserve">H200 NVL smallest MIG = 16.5 GB</t>
  </si>
  <si>
    <t xml:space="preserve">MIG 1g.18gb × 7</t>
  </si>
  <si>
    <t xml:space="preserve">NVIDIA NVAIE 8.2 H200 vGPU reference</t>
  </si>
  <si>
    <t xml:space="preserve">[I] reseller datasheet → [I] NVIDIA docs</t>
  </si>
  <si>
    <t xml:space="preserve">RTX PRO 4500 / 6000 smallest vGPU = 2 GB; L4 = 1 GB</t>
  </si>
  <si>
    <t xml:space="preserve">Those are graphics (vPC) profiles; compute floor = 8 GB (RTX PRO) / 4 GB × 6 (L4)</t>
  </si>
  <si>
    <t xml:space="preserve">NVIDIA NVAIE 8.2 Blackwell and Ada vGPU references</t>
  </si>
  <si>
    <t xml:space="preserve">Scope correction</t>
  </si>
  <si>
    <t xml:space="preserve">B300 smallest MIG: 1g.34gb vs 1g.35gb conflict</t>
  </si>
  <si>
    <t xml:space="preserve">HGX B300 (279 GB) = 1g.34gb × 7; 1g.35gb is DGX Station (278 GB) variant</t>
  </si>
  <si>
    <t xml:space="preserve">NVIDIA NVAIE 8.2 Blackwell reference; DGX Station MIG playbook</t>
  </si>
  <si>
    <t xml:space="preserve">[3P] → [I]</t>
  </si>
  <si>
    <t xml:space="preserve">HGX B200/B300 fractional vGPU assumed</t>
  </si>
  <si>
    <t xml:space="preserve">Time-sliced vGPU exists only as full-GPU profile; slicing in VMs is MIG-backed only</t>
  </si>
  <si>
    <t xml:space="preserve">NVIDIA NVAIE 8.2 Blackwell reference</t>
  </si>
  <si>
    <t xml:space="preserve">New finding [I]</t>
  </si>
  <si>
    <t xml:space="preserve">Open Questions Register</t>
  </si>
  <si>
    <t xml:space="preserve">Items to confirm before planner ingestion</t>
  </si>
  <si>
    <t xml:space="preserve">Question</t>
  </si>
  <si>
    <t xml:space="preserve">Why it matters</t>
  </si>
  <si>
    <t xml:space="preserve">Ask</t>
  </si>
  <si>
    <t xml:space="preserve">GB200 / GB300 NVL72 exact MIG profile names and sizes</t>
  </si>
  <si>
    <t xml:space="preserve">Planner currently uses extrapolated 23 / 34 GB</t>
  </si>
  <si>
    <t xml:space="preserve">Run nvidia-smi mig -lgip on a tray</t>
  </si>
  <si>
    <t xml:space="preserve">GB300 NVL72 vGPU support (bare-metal only?)</t>
  </si>
  <si>
    <t xml:space="preserve">Determines whether VM multi-tenancy is possible</t>
  </si>
  <si>
    <t xml:space="preserve">NVIDIA NVAIE support matrix</t>
  </si>
  <si>
    <t xml:space="preserve">OpenShift bare-metal socket-pair stacking above 64 cores</t>
  </si>
  <si>
    <t xml:space="preserve">Dual 6776P / 6962P hosts exceed 64 cores</t>
  </si>
  <si>
    <t xml:space="preserve">Red Hat account team</t>
  </si>
  <si>
    <t xml:space="preserve">Run:ai SaaS inclusion in NVAIE</t>
  </si>
  <si>
    <t xml:space="preserve">NVIDIA docs conflict</t>
  </si>
  <si>
    <t xml:space="preserve">NVIDIA quote</t>
  </si>
  <si>
    <t xml:space="preserve">SUSE AI licence metric</t>
  </si>
  <si>
    <t xml:space="preserve">Unpublished</t>
  </si>
  <si>
    <t xml:space="preserve">SUSE sales</t>
  </si>
  <si>
    <t xml:space="preserve">VCF 72-core per-order minimum scope</t>
  </si>
  <si>
    <t xml:space="preserve">Contested — may apply only to Tanzu Data SKUs</t>
  </si>
  <si>
    <t xml:space="preserve">Broadcom partner</t>
  </si>
  <si>
    <t xml:space="preserve">MPS on OpenShift (one-process-per-GPU bug)</t>
  </si>
  <si>
    <t xml:space="preserve">Undated report; may be fixed</t>
  </si>
  <si>
    <t xml:space="preserve">Test on target OpenShift version</t>
  </si>
  <si>
    <t xml:space="preserve">HAMi on Grace (ARM) hosts</t>
  </si>
  <si>
    <t xml:space="preserve">Needed for NVL72 soft slicing</t>
  </si>
  <si>
    <t xml:space="preserve">HAMi project / test</t>
  </si>
  <si>
    <t xml:space="preserve">Retrieved Sep 2026</t>
  </si>
  <si>
    <t xml:space="preserve">Source</t>
  </si>
  <si>
    <t xml:space="preserve">Used for</t>
  </si>
  <si>
    <t xml:space="preserve">URL</t>
  </si>
  <si>
    <t xml:space="preserve">NVIDIA AI Enterprise 8.2 — Blackwell vGPU types</t>
  </si>
  <si>
    <t xml:space="preserve">RTX PRO 4500/6000, HGX B200/B300 MIG + vGPU</t>
  </si>
  <si>
    <t xml:space="preserve">https://docs.nvidia.com/ai-enterprise/release-8/latest/infra-software/vgpu/reference/blackwell.html</t>
  </si>
  <si>
    <t xml:space="preserve">NVIDIA AI Enterprise 8.2 — Hopper H200 vGPU types</t>
  </si>
  <si>
    <t xml:space="preserve">H200 NVL MIG + vGPU</t>
  </si>
  <si>
    <t xml:space="preserve">https://docs.nvidia.com/ai-enterprise/release-8/latest/infra-software/vgpu/reference/hopper-h200.html</t>
  </si>
  <si>
    <t xml:space="preserve">NVIDIA AI Enterprise 8.2 — Hopper H100 vGPU types</t>
  </si>
  <si>
    <t xml:space="preserve">H100 PCIe / NVL MIG + vGPU</t>
  </si>
  <si>
    <t xml:space="preserve">https://docs.nvidia.com/ai-enterprise/release-8/latest/infra-software/vgpu/reference/hopper-h100.html</t>
  </si>
  <si>
    <t xml:space="preserve">NVIDIA AI Enterprise 8.2 — Ada Lovelace vGPU types</t>
  </si>
  <si>
    <t xml:space="preserve">L4 vGPU</t>
  </si>
  <si>
    <t xml:space="preserve">https://docs.nvidia.com/ai-enterprise/release-8/latest/infra-software/vgpu/reference/ada-lovelace.html</t>
  </si>
  <si>
    <t xml:space="preserve">NVIDIA AI Enterprise 7.0 support matrix</t>
  </si>
  <si>
    <t xml:space="preserve">GB200 bare-metal only</t>
  </si>
  <si>
    <t xml:space="preserve">https://docs.nvidia.com/ai-enterprise/release-7/7.0/support/support-matrix.html</t>
  </si>
  <si>
    <t xml:space="preserve">NVIDIA DGX Station MIG playbook</t>
  </si>
  <si>
    <t xml:space="preserve">B300 1g.35gb variant naming</t>
  </si>
  <si>
    <t xml:space="preserve">https://build.nvidia.com/station/mig/instructions</t>
  </si>
  <si>
    <t xml:space="preserve">Exoscale MIG profile schema</t>
  </si>
  <si>
    <t xml:space="preserve">B300 / RTX PRO 6000 profile lists</t>
  </si>
  <si>
    <t xml:space="preserve">https://community.exoscale.com/reference/api/_schemas/nvidia-mig-profiles/</t>
  </si>
  <si>
    <t xml:space="preserve">NVIDIA GPU Operator — MIG</t>
  </si>
  <si>
    <t xml:space="preserve">MIG manager, profiles in Kubernetes</t>
  </si>
  <si>
    <t xml:space="preserve">https://docs.nvidia.com/datacenter/cloud-native/gpu-operator/latest/gpu-operator-mig.html</t>
  </si>
  <si>
    <t xml:space="preserve">Red Hat AI subscription guide</t>
  </si>
  <si>
    <t xml:space="preserve">Red Hat AI Enterprise / OpenShift AI / AI Inference metrics</t>
  </si>
  <si>
    <t xml:space="preserve">https://www.redhat.com/en/resources/ai-subscription-guide-detail</t>
  </si>
  <si>
    <t xml:space="preserve">NVIDIA H200 product page</t>
  </si>
  <si>
    <t xml:space="preserve">H200 NVL bundled 5-yr NVAIE</t>
  </si>
  <si>
    <t xml:space="preserve">https://www.nvidia.com/en-us/data-center/h200/</t>
  </si>
  <si>
    <t xml:space="preserve">Broadcom VCF / Private AI Foundation docs</t>
  </si>
  <si>
    <t xml:space="preserve">VCF licensing, VKS, PAIF add-on</t>
  </si>
  <si>
    <t xml:space="preserve">(see earlier chat citations)</t>
  </si>
  <si>
    <t xml:space="preserve">NVIDIA NVAIE licensing guide</t>
  </si>
  <si>
    <t xml:space="preserve">Per-GPU pricing</t>
  </si>
  <si>
    <t xml:space="preserve">SUSE, Canonical, Nutanix product/licensing pages</t>
  </si>
  <si>
    <t xml:space="preserve">Platform metrics</t>
  </si>
  <si>
    <t xml:space="preserve">HAMi project / CNCF; KAI Scheduler releases</t>
  </si>
  <si>
    <t xml:space="preserve">OSS stack</t>
  </si>
  <si>
    <t xml:space="preserve">NAND Research; partner quotes; HPE community</t>
  </si>
  <si>
    <t xml:space="preserve">SchedMD ownership, VCF price, driver licensing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</si>
</sst>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$#,##0"/>
    <numFmt numFmtId="167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8562F"/>
      <name val="Cambria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1"/>
      <color rgb="FFB8562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B8562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856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/>
      <c r="B15" s="4"/>
    </row>
    <row r="16" customFormat="false" ht="15" hidden="false" customHeight="false" outlineLevel="0" collapsed="false">
      <c r="A16" s="3" t="s">
        <v>24</v>
      </c>
      <c r="B16" s="3" t="s">
        <v>25</v>
      </c>
    </row>
    <row r="17" customFormat="false" ht="15" hidden="false" customHeight="false" outlineLevel="0" collapsed="false">
      <c r="A17" s="5" t="s">
        <v>26</v>
      </c>
      <c r="B17" s="4" t="s">
        <v>27</v>
      </c>
    </row>
    <row r="18" customFormat="false" ht="15" hidden="false" customHeight="false" outlineLevel="0" collapsed="false">
      <c r="A18" s="6" t="s">
        <v>28</v>
      </c>
      <c r="B18" s="4" t="s">
        <v>29</v>
      </c>
    </row>
    <row r="19" customFormat="false" ht="15" hidden="false" customHeight="false" outlineLevel="0" collapsed="false">
      <c r="A19" s="7" t="s">
        <v>30</v>
      </c>
      <c r="B19" s="4" t="s">
        <v>31</v>
      </c>
    </row>
    <row r="20" customFormat="false" ht="15" hidden="false" customHeight="false" outlineLevel="0" collapsed="false">
      <c r="A20" s="8" t="s">
        <v>32</v>
      </c>
      <c r="B20" s="4" t="s">
        <v>33</v>
      </c>
    </row>
    <row r="21" customFormat="false" ht="15" hidden="false" customHeight="false" outlineLevel="0" collapsed="false">
      <c r="A21" s="9" t="s">
        <v>34</v>
      </c>
      <c r="B21" s="4" t="s">
        <v>35</v>
      </c>
    </row>
    <row r="22" customFormat="false" ht="15" hidden="false" customHeight="false" outlineLevel="0" collapsed="false">
      <c r="A22" s="4"/>
      <c r="B22" s="4"/>
    </row>
    <row r="23" customFormat="false" ht="15" hidden="false" customHeight="false" outlineLevel="0" collapsed="false">
      <c r="A23" s="3" t="s">
        <v>36</v>
      </c>
      <c r="B23" s="3" t="s">
        <v>25</v>
      </c>
    </row>
    <row r="24" customFormat="false" ht="15" hidden="false" customHeight="false" outlineLevel="0" collapsed="false">
      <c r="A24" s="10" t="s">
        <v>37</v>
      </c>
      <c r="B24" s="4" t="s">
        <v>38</v>
      </c>
    </row>
    <row r="25" customFormat="false" ht="15" hidden="false" customHeight="false" outlineLevel="0" collapsed="false">
      <c r="A25" s="4" t="s">
        <v>39</v>
      </c>
      <c r="B25" s="4" t="s">
        <v>40</v>
      </c>
    </row>
    <row r="28" customFormat="false" ht="15" hidden="false" customHeight="false" outlineLevel="0" collapsed="false">
      <c r="A28" s="11" t="s">
        <v>41</v>
      </c>
    </row>
    <row r="29" customFormat="false" ht="15" hidden="false" customHeight="false" outlineLevel="0" collapsed="false">
      <c r="A29" s="12" t="s">
        <v>42</v>
      </c>
      <c r="B29" s="12"/>
    </row>
    <row r="30" customFormat="false" ht="15" hidden="false" customHeight="false" outlineLevel="0" collapsed="false">
      <c r="A30" s="12" t="s">
        <v>43</v>
      </c>
      <c r="B30" s="12"/>
    </row>
    <row r="31" customFormat="false" ht="15" hidden="false" customHeight="false" outlineLevel="0" collapsed="false">
      <c r="A31" s="12" t="s">
        <v>44</v>
      </c>
      <c r="B31" s="12"/>
    </row>
    <row r="32" customFormat="false" ht="15" hidden="false" customHeight="false" outlineLevel="0" collapsed="false">
      <c r="A32" s="12" t="s">
        <v>45</v>
      </c>
      <c r="B32" s="12"/>
    </row>
    <row r="33" customFormat="false" ht="15" hidden="false" customHeight="false" outlineLevel="0" collapsed="false">
      <c r="A33" s="12" t="s">
        <v>46</v>
      </c>
      <c r="B33" s="12"/>
    </row>
  </sheetData>
  <mergeCells count="5">
    <mergeCell ref="A29:B29"/>
    <mergeCell ref="A30:B30"/>
    <mergeCell ref="A31:B31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5" min="13" style="0" width="12"/>
    <col collapsed="false" customWidth="true" hidden="false" outlineLevel="0" max="16" min="16" style="0" width="14"/>
    <col collapsed="false" customWidth="true" hidden="false" outlineLevel="0" max="17" min="17" style="0" width="44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46.25" hidden="false" customHeight="false" outlineLevel="0" collapsed="false">
      <c r="A4" s="13" t="s">
        <v>49</v>
      </c>
      <c r="B4" s="13" t="s">
        <v>50</v>
      </c>
      <c r="C4" s="13" t="s">
        <v>51</v>
      </c>
      <c r="D4" s="13" t="s">
        <v>52</v>
      </c>
      <c r="E4" s="13" t="s">
        <v>53</v>
      </c>
      <c r="F4" s="13" t="s">
        <v>54</v>
      </c>
      <c r="G4" s="13" t="s">
        <v>55</v>
      </c>
      <c r="H4" s="13" t="s">
        <v>56</v>
      </c>
      <c r="I4" s="13" t="s">
        <v>57</v>
      </c>
      <c r="J4" s="13" t="s">
        <v>58</v>
      </c>
      <c r="K4" s="13" t="s">
        <v>59</v>
      </c>
      <c r="L4" s="13" t="s">
        <v>60</v>
      </c>
      <c r="M4" s="13" t="s">
        <v>61</v>
      </c>
      <c r="N4" s="13" t="s">
        <v>62</v>
      </c>
      <c r="O4" s="13" t="s">
        <v>63</v>
      </c>
      <c r="P4" s="13" t="s">
        <v>64</v>
      </c>
      <c r="Q4" s="13" t="s">
        <v>65</v>
      </c>
      <c r="R4" s="13" t="s">
        <v>66</v>
      </c>
    </row>
    <row r="5" customFormat="false" ht="15" hidden="false" customHeight="false" outlineLevel="0" collapsed="false">
      <c r="A5" s="14" t="s">
        <v>67</v>
      </c>
      <c r="B5" s="14" t="s">
        <v>68</v>
      </c>
      <c r="C5" s="15" t="n">
        <v>24</v>
      </c>
      <c r="D5" s="14" t="s">
        <v>69</v>
      </c>
      <c r="E5" s="15"/>
      <c r="F5" s="15" t="n">
        <v>0</v>
      </c>
      <c r="G5" s="15"/>
      <c r="H5" s="15" t="n">
        <v>0</v>
      </c>
      <c r="I5" s="15" t="n">
        <v>4</v>
      </c>
      <c r="J5" s="15" t="n">
        <v>6</v>
      </c>
      <c r="K5" s="14" t="s">
        <v>70</v>
      </c>
      <c r="L5" s="14" t="s">
        <v>71</v>
      </c>
      <c r="M5" s="14" t="n">
        <f aca="false">IFERROR(SMALL((E5~G5~I5),1),"-")</f>
        <v>4</v>
      </c>
      <c r="N5" s="14" t="n">
        <f aca="false">MAX(F5,H5,J5)</f>
        <v>6</v>
      </c>
      <c r="O5" s="14" t="n">
        <f aca="false">N5*8</f>
        <v>48</v>
      </c>
      <c r="P5" s="16" t="n">
        <f aca="false">IFERROR((M5-1)/M5,"-")</f>
        <v>0.75</v>
      </c>
      <c r="Q5" s="14" t="s">
        <v>72</v>
      </c>
      <c r="R5" s="17" t="s">
        <v>26</v>
      </c>
    </row>
    <row r="6" customFormat="false" ht="23.85" hidden="false" customHeight="false" outlineLevel="0" collapsed="false">
      <c r="A6" s="18" t="s">
        <v>73</v>
      </c>
      <c r="B6" s="18" t="s">
        <v>74</v>
      </c>
      <c r="C6" s="15" t="n">
        <v>32</v>
      </c>
      <c r="D6" s="18" t="s">
        <v>75</v>
      </c>
      <c r="E6" s="15" t="n">
        <v>16</v>
      </c>
      <c r="F6" s="15" t="n">
        <v>2</v>
      </c>
      <c r="G6" s="15" t="n">
        <v>8</v>
      </c>
      <c r="H6" s="15" t="n">
        <v>4</v>
      </c>
      <c r="I6" s="15" t="n">
        <v>8</v>
      </c>
      <c r="J6" s="15" t="n">
        <v>4</v>
      </c>
      <c r="K6" s="18" t="s">
        <v>76</v>
      </c>
      <c r="L6" s="18" t="s">
        <v>71</v>
      </c>
      <c r="M6" s="18" t="n">
        <f aca="false">IFERROR(SMALL((E6~G6~I6),1),"-")</f>
        <v>8</v>
      </c>
      <c r="N6" s="18" t="n">
        <f aca="false">MAX(F6,H6,J6)</f>
        <v>4</v>
      </c>
      <c r="O6" s="18" t="n">
        <f aca="false">N6*8</f>
        <v>32</v>
      </c>
      <c r="P6" s="19" t="n">
        <f aca="false">IFERROR((M6-1)/M6,"-")</f>
        <v>0.875</v>
      </c>
      <c r="Q6" s="18" t="s">
        <v>77</v>
      </c>
      <c r="R6" s="17" t="s">
        <v>26</v>
      </c>
    </row>
    <row r="7" customFormat="false" ht="15" hidden="false" customHeight="false" outlineLevel="0" collapsed="false">
      <c r="A7" s="14" t="s">
        <v>78</v>
      </c>
      <c r="B7" s="14" t="s">
        <v>79</v>
      </c>
      <c r="C7" s="15" t="n">
        <v>96</v>
      </c>
      <c r="D7" s="14" t="s">
        <v>80</v>
      </c>
      <c r="E7" s="15" t="n">
        <v>24</v>
      </c>
      <c r="F7" s="15" t="n">
        <v>4</v>
      </c>
      <c r="G7" s="15" t="n">
        <v>8</v>
      </c>
      <c r="H7" s="15" t="n">
        <v>12</v>
      </c>
      <c r="I7" s="15" t="n">
        <v>8</v>
      </c>
      <c r="J7" s="15" t="n">
        <v>12</v>
      </c>
      <c r="K7" s="14" t="s">
        <v>76</v>
      </c>
      <c r="L7" s="14" t="s">
        <v>71</v>
      </c>
      <c r="M7" s="14" t="n">
        <f aca="false">IFERROR(SMALL((E7~G7~I7),1),"-")</f>
        <v>8</v>
      </c>
      <c r="N7" s="14" t="n">
        <f aca="false">MAX(F7,H7,J7)</f>
        <v>12</v>
      </c>
      <c r="O7" s="14" t="n">
        <f aca="false">N7*8</f>
        <v>96</v>
      </c>
      <c r="P7" s="16" t="n">
        <f aca="false">IFERROR((M7-1)/M7,"-")</f>
        <v>0.875</v>
      </c>
      <c r="Q7" s="14" t="s">
        <v>81</v>
      </c>
      <c r="R7" s="17" t="s">
        <v>26</v>
      </c>
    </row>
    <row r="8" customFormat="false" ht="15" hidden="false" customHeight="false" outlineLevel="0" collapsed="false">
      <c r="A8" s="18" t="s">
        <v>82</v>
      </c>
      <c r="B8" s="18" t="s">
        <v>79</v>
      </c>
      <c r="C8" s="15" t="n">
        <v>80</v>
      </c>
      <c r="D8" s="18" t="s">
        <v>83</v>
      </c>
      <c r="E8" s="15" t="n">
        <v>10</v>
      </c>
      <c r="F8" s="15" t="n">
        <v>7</v>
      </c>
      <c r="G8" s="15" t="n">
        <v>10</v>
      </c>
      <c r="H8" s="15" t="n">
        <v>7</v>
      </c>
      <c r="I8" s="15" t="n">
        <v>4</v>
      </c>
      <c r="J8" s="15" t="n">
        <v>20</v>
      </c>
      <c r="K8" s="18" t="s">
        <v>70</v>
      </c>
      <c r="L8" s="18" t="s">
        <v>71</v>
      </c>
      <c r="M8" s="18" t="n">
        <f aca="false">IFERROR(SMALL((E8~G8~I8),1),"-")</f>
        <v>4</v>
      </c>
      <c r="N8" s="18" t="n">
        <f aca="false">MAX(F8,H8,J8)</f>
        <v>20</v>
      </c>
      <c r="O8" s="18" t="n">
        <f aca="false">N8*8</f>
        <v>160</v>
      </c>
      <c r="P8" s="19" t="n">
        <f aca="false">IFERROR((M8-1)/M8,"-")</f>
        <v>0.75</v>
      </c>
      <c r="Q8" s="18" t="s">
        <v>84</v>
      </c>
      <c r="R8" s="17" t="s">
        <v>26</v>
      </c>
    </row>
    <row r="9" customFormat="false" ht="15" hidden="false" customHeight="false" outlineLevel="0" collapsed="false">
      <c r="A9" s="14" t="s">
        <v>85</v>
      </c>
      <c r="B9" s="14" t="s">
        <v>79</v>
      </c>
      <c r="C9" s="15" t="n">
        <v>94</v>
      </c>
      <c r="D9" s="14" t="s">
        <v>86</v>
      </c>
      <c r="E9" s="15" t="n">
        <v>12</v>
      </c>
      <c r="F9" s="15" t="n">
        <v>7</v>
      </c>
      <c r="G9" s="15" t="n">
        <v>12</v>
      </c>
      <c r="H9" s="15" t="n">
        <v>7</v>
      </c>
      <c r="I9" s="15" t="n">
        <v>4</v>
      </c>
      <c r="J9" s="15" t="n">
        <v>23</v>
      </c>
      <c r="K9" s="14" t="s">
        <v>70</v>
      </c>
      <c r="L9" s="14" t="s">
        <v>71</v>
      </c>
      <c r="M9" s="14" t="n">
        <f aca="false">IFERROR(SMALL((E9~G9~I9),1),"-")</f>
        <v>4</v>
      </c>
      <c r="N9" s="14" t="n">
        <f aca="false">MAX(F9,H9,J9)</f>
        <v>23</v>
      </c>
      <c r="O9" s="14" t="n">
        <f aca="false">N9*8</f>
        <v>184</v>
      </c>
      <c r="P9" s="16" t="n">
        <f aca="false">IFERROR((M9-1)/M9,"-")</f>
        <v>0.75</v>
      </c>
      <c r="Q9" s="14" t="s">
        <v>84</v>
      </c>
      <c r="R9" s="17" t="s">
        <v>26</v>
      </c>
    </row>
    <row r="10" customFormat="false" ht="15" hidden="false" customHeight="false" outlineLevel="0" collapsed="false">
      <c r="A10" s="18" t="s">
        <v>87</v>
      </c>
      <c r="B10" s="18" t="s">
        <v>88</v>
      </c>
      <c r="C10" s="15" t="n">
        <v>141</v>
      </c>
      <c r="D10" s="18" t="s">
        <v>89</v>
      </c>
      <c r="E10" s="15" t="n">
        <v>18</v>
      </c>
      <c r="F10" s="15" t="n">
        <v>7</v>
      </c>
      <c r="G10" s="15" t="n">
        <v>18</v>
      </c>
      <c r="H10" s="15" t="n">
        <v>7</v>
      </c>
      <c r="I10" s="15" t="n">
        <v>4</v>
      </c>
      <c r="J10" s="15" t="n">
        <v>32</v>
      </c>
      <c r="K10" s="18" t="s">
        <v>70</v>
      </c>
      <c r="L10" s="18" t="s">
        <v>71</v>
      </c>
      <c r="M10" s="18" t="n">
        <f aca="false">IFERROR(SMALL((E10~G10~I10),1),"-")</f>
        <v>4</v>
      </c>
      <c r="N10" s="18" t="n">
        <f aca="false">MAX(F10,H10,J10)</f>
        <v>32</v>
      </c>
      <c r="O10" s="18" t="n">
        <f aca="false">N10*8</f>
        <v>256</v>
      </c>
      <c r="P10" s="19" t="n">
        <f aca="false">IFERROR((M10-1)/M10,"-")</f>
        <v>0.75</v>
      </c>
      <c r="Q10" s="18" t="s">
        <v>90</v>
      </c>
      <c r="R10" s="17" t="s">
        <v>26</v>
      </c>
    </row>
    <row r="11" customFormat="false" ht="15" hidden="false" customHeight="false" outlineLevel="0" collapsed="false">
      <c r="A11" s="14" t="s">
        <v>91</v>
      </c>
      <c r="B11" s="14" t="s">
        <v>92</v>
      </c>
      <c r="C11" s="15" t="n">
        <v>180</v>
      </c>
      <c r="D11" s="14" t="s">
        <v>93</v>
      </c>
      <c r="E11" s="15" t="n">
        <v>22.5</v>
      </c>
      <c r="F11" s="15" t="n">
        <v>7</v>
      </c>
      <c r="G11" s="15" t="n">
        <v>22.5</v>
      </c>
      <c r="H11" s="15" t="n">
        <v>7</v>
      </c>
      <c r="I11" s="15" t="n">
        <v>180</v>
      </c>
      <c r="J11" s="15" t="n">
        <v>1</v>
      </c>
      <c r="K11" s="14" t="s">
        <v>70</v>
      </c>
      <c r="L11" s="14" t="s">
        <v>71</v>
      </c>
      <c r="M11" s="14" t="n">
        <f aca="false">IFERROR(SMALL((E11~G11~I11),1),"-")</f>
        <v>22.5</v>
      </c>
      <c r="N11" s="14" t="n">
        <f aca="false">MAX(F11,H11,J11)</f>
        <v>7</v>
      </c>
      <c r="O11" s="14" t="n">
        <f aca="false">N11*8</f>
        <v>56</v>
      </c>
      <c r="P11" s="16" t="n">
        <f aca="false">IFERROR((M11-1)/M11,"-")</f>
        <v>0.955555555555556</v>
      </c>
      <c r="Q11" s="14" t="s">
        <v>94</v>
      </c>
      <c r="R11" s="17" t="s">
        <v>26</v>
      </c>
    </row>
    <row r="12" customFormat="false" ht="15" hidden="false" customHeight="false" outlineLevel="0" collapsed="false">
      <c r="A12" s="18" t="s">
        <v>95</v>
      </c>
      <c r="B12" s="18" t="s">
        <v>96</v>
      </c>
      <c r="C12" s="15" t="n">
        <v>279</v>
      </c>
      <c r="D12" s="18" t="s">
        <v>97</v>
      </c>
      <c r="E12" s="15" t="n">
        <v>34</v>
      </c>
      <c r="F12" s="15" t="n">
        <v>7</v>
      </c>
      <c r="G12" s="15" t="n">
        <v>34</v>
      </c>
      <c r="H12" s="15" t="n">
        <v>7</v>
      </c>
      <c r="I12" s="15" t="n">
        <v>269</v>
      </c>
      <c r="J12" s="15" t="n">
        <v>1</v>
      </c>
      <c r="K12" s="18" t="s">
        <v>70</v>
      </c>
      <c r="L12" s="18" t="s">
        <v>71</v>
      </c>
      <c r="M12" s="18" t="n">
        <f aca="false">IFERROR(SMALL((E12~G12~I12),1),"-")</f>
        <v>34</v>
      </c>
      <c r="N12" s="18" t="n">
        <f aca="false">MAX(F12,H12,J12)</f>
        <v>7</v>
      </c>
      <c r="O12" s="18" t="n">
        <f aca="false">N12*8</f>
        <v>56</v>
      </c>
      <c r="P12" s="19" t="n">
        <f aca="false">IFERROR((M12-1)/M12,"-")</f>
        <v>0.970588235294118</v>
      </c>
      <c r="Q12" s="18" t="s">
        <v>98</v>
      </c>
      <c r="R12" s="17" t="s">
        <v>26</v>
      </c>
    </row>
    <row r="13" customFormat="false" ht="23.85" hidden="false" customHeight="false" outlineLevel="0" collapsed="false">
      <c r="A13" s="14" t="s">
        <v>99</v>
      </c>
      <c r="B13" s="14" t="s">
        <v>100</v>
      </c>
      <c r="C13" s="15" t="n">
        <v>186</v>
      </c>
      <c r="D13" s="14" t="s">
        <v>101</v>
      </c>
      <c r="E13" s="15" t="n">
        <v>23</v>
      </c>
      <c r="F13" s="15" t="n">
        <v>7</v>
      </c>
      <c r="G13" s="15"/>
      <c r="H13" s="15" t="n">
        <v>0</v>
      </c>
      <c r="I13" s="15"/>
      <c r="J13" s="15" t="n">
        <v>0</v>
      </c>
      <c r="K13" s="14" t="s">
        <v>70</v>
      </c>
      <c r="L13" s="14" t="s">
        <v>102</v>
      </c>
      <c r="M13" s="14" t="n">
        <f aca="false">IFERROR(SMALL((E13~G13~I13),1),"-")</f>
        <v>23</v>
      </c>
      <c r="N13" s="14" t="n">
        <f aca="false">MAX(F13,H13,J13)</f>
        <v>7</v>
      </c>
      <c r="O13" s="14" t="n">
        <f aca="false">N13*8</f>
        <v>56</v>
      </c>
      <c r="P13" s="16" t="n">
        <f aca="false">IFERROR((M13-1)/M13,"-")</f>
        <v>0.956521739130435</v>
      </c>
      <c r="Q13" s="14" t="s">
        <v>103</v>
      </c>
      <c r="R13" s="20" t="s">
        <v>104</v>
      </c>
    </row>
    <row r="14" customFormat="false" ht="23.85" hidden="false" customHeight="false" outlineLevel="0" collapsed="false">
      <c r="A14" s="18" t="s">
        <v>105</v>
      </c>
      <c r="B14" s="18" t="s">
        <v>100</v>
      </c>
      <c r="C14" s="15" t="n">
        <v>279</v>
      </c>
      <c r="D14" s="18" t="s">
        <v>106</v>
      </c>
      <c r="E14" s="15" t="n">
        <v>34</v>
      </c>
      <c r="F14" s="15" t="n">
        <v>7</v>
      </c>
      <c r="G14" s="15"/>
      <c r="H14" s="15" t="n">
        <v>0</v>
      </c>
      <c r="I14" s="15"/>
      <c r="J14" s="15" t="n">
        <v>0</v>
      </c>
      <c r="K14" s="18" t="s">
        <v>70</v>
      </c>
      <c r="L14" s="18" t="s">
        <v>107</v>
      </c>
      <c r="M14" s="18" t="n">
        <f aca="false">IFERROR(SMALL((E14~G14~I14),1),"-")</f>
        <v>34</v>
      </c>
      <c r="N14" s="18" t="n">
        <f aca="false">MAX(F14,H14,J14)</f>
        <v>7</v>
      </c>
      <c r="O14" s="18" t="n">
        <f aca="false">N14*8</f>
        <v>56</v>
      </c>
      <c r="P14" s="19" t="n">
        <f aca="false">IFERROR((M14-1)/M14,"-")</f>
        <v>0.970588235294118</v>
      </c>
      <c r="Q14" s="18" t="s">
        <v>108</v>
      </c>
      <c r="R14" s="20" t="s">
        <v>109</v>
      </c>
    </row>
    <row r="16" customFormat="false" ht="15" hidden="false" customHeight="false" outlineLevel="0" collapsed="false">
      <c r="A16" s="2" t="s">
        <v>110</v>
      </c>
    </row>
    <row r="17" customFormat="false" ht="15" hidden="false" customHeight="false" outlineLevel="0" collapsed="false">
      <c r="A17" s="2" t="s">
        <v>111</v>
      </c>
    </row>
  </sheetData>
  <autoFilter ref="A4:R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6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13" t="s">
        <v>114</v>
      </c>
      <c r="B4" s="13" t="s">
        <v>115</v>
      </c>
      <c r="C4" s="13" t="s">
        <v>67</v>
      </c>
      <c r="D4" s="13" t="s">
        <v>116</v>
      </c>
      <c r="E4" s="13" t="s">
        <v>117</v>
      </c>
      <c r="F4" s="13" t="s">
        <v>118</v>
      </c>
      <c r="G4" s="13" t="s">
        <v>87</v>
      </c>
      <c r="H4" s="13" t="s">
        <v>119</v>
      </c>
      <c r="I4" s="13" t="s">
        <v>66</v>
      </c>
    </row>
    <row r="5" customFormat="false" ht="15" hidden="false" customHeight="false" outlineLevel="0" collapsed="false">
      <c r="A5" s="14" t="s">
        <v>120</v>
      </c>
      <c r="B5" s="14" t="s">
        <v>121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123</v>
      </c>
      <c r="I5" s="17" t="s">
        <v>124</v>
      </c>
    </row>
    <row r="6" customFormat="false" ht="15" hidden="false" customHeight="false" outlineLevel="0" collapsed="false">
      <c r="A6" s="18" t="s">
        <v>125</v>
      </c>
      <c r="B6" s="18" t="s">
        <v>126</v>
      </c>
      <c r="C6" s="18" t="s">
        <v>127</v>
      </c>
      <c r="D6" s="18" t="s">
        <v>128</v>
      </c>
      <c r="E6" s="18" t="s">
        <v>129</v>
      </c>
      <c r="F6" s="18" t="s">
        <v>130</v>
      </c>
      <c r="G6" s="18" t="s">
        <v>130</v>
      </c>
      <c r="H6" s="18" t="s">
        <v>131</v>
      </c>
      <c r="I6" s="17" t="s">
        <v>26</v>
      </c>
    </row>
    <row r="7" customFormat="false" ht="15" hidden="false" customHeight="false" outlineLevel="0" collapsed="false">
      <c r="A7" s="14" t="s">
        <v>132</v>
      </c>
      <c r="B7" s="14" t="s">
        <v>133</v>
      </c>
      <c r="C7" s="14" t="s">
        <v>127</v>
      </c>
      <c r="D7" s="14" t="s">
        <v>122</v>
      </c>
      <c r="E7" s="14" t="s">
        <v>122</v>
      </c>
      <c r="F7" s="14" t="s">
        <v>122</v>
      </c>
      <c r="G7" s="14" t="s">
        <v>122</v>
      </c>
      <c r="H7" s="14" t="s">
        <v>127</v>
      </c>
      <c r="I7" s="17" t="s">
        <v>26</v>
      </c>
    </row>
    <row r="8" customFormat="false" ht="15" hidden="false" customHeight="false" outlineLevel="0" collapsed="false">
      <c r="A8" s="18" t="s">
        <v>134</v>
      </c>
      <c r="B8" s="18" t="s">
        <v>135</v>
      </c>
      <c r="C8" s="18" t="s">
        <v>127</v>
      </c>
      <c r="D8" s="18" t="s">
        <v>122</v>
      </c>
      <c r="E8" s="18" t="s">
        <v>122</v>
      </c>
      <c r="F8" s="18" t="s">
        <v>127</v>
      </c>
      <c r="G8" s="18" t="s">
        <v>127</v>
      </c>
      <c r="H8" s="18" t="s">
        <v>127</v>
      </c>
      <c r="I8" s="17" t="s">
        <v>26</v>
      </c>
    </row>
    <row r="9" customFormat="false" ht="15" hidden="false" customHeight="false" outlineLevel="0" collapsed="false">
      <c r="A9" s="14" t="s">
        <v>136</v>
      </c>
      <c r="B9" s="14" t="s">
        <v>135</v>
      </c>
      <c r="C9" s="14" t="s">
        <v>122</v>
      </c>
      <c r="D9" s="14" t="s">
        <v>122</v>
      </c>
      <c r="E9" s="14" t="s">
        <v>122</v>
      </c>
      <c r="F9" s="14" t="s">
        <v>122</v>
      </c>
      <c r="G9" s="14" t="s">
        <v>122</v>
      </c>
      <c r="H9" s="14" t="s">
        <v>127</v>
      </c>
      <c r="I9" s="17" t="s">
        <v>26</v>
      </c>
    </row>
    <row r="10" customFormat="false" ht="15" hidden="false" customHeight="false" outlineLevel="0" collapsed="false">
      <c r="A10" s="18" t="s">
        <v>137</v>
      </c>
      <c r="B10" s="18" t="s">
        <v>138</v>
      </c>
      <c r="C10" s="18" t="s">
        <v>122</v>
      </c>
      <c r="D10" s="18" t="s">
        <v>122</v>
      </c>
      <c r="E10" s="18" t="s">
        <v>122</v>
      </c>
      <c r="F10" s="18" t="s">
        <v>127</v>
      </c>
      <c r="G10" s="18" t="s">
        <v>127</v>
      </c>
      <c r="H10" s="18" t="s">
        <v>127</v>
      </c>
      <c r="I10" s="20" t="s">
        <v>28</v>
      </c>
    </row>
    <row r="11" customFormat="false" ht="15" hidden="false" customHeight="false" outlineLevel="0" collapsed="false">
      <c r="A11" s="14" t="s">
        <v>139</v>
      </c>
      <c r="B11" s="14" t="s">
        <v>140</v>
      </c>
      <c r="C11" s="14" t="s">
        <v>122</v>
      </c>
      <c r="D11" s="14" t="s">
        <v>122</v>
      </c>
      <c r="E11" s="14" t="s">
        <v>122</v>
      </c>
      <c r="F11" s="14" t="s">
        <v>122</v>
      </c>
      <c r="G11" s="14" t="s">
        <v>122</v>
      </c>
      <c r="H11" s="14" t="s">
        <v>122</v>
      </c>
      <c r="I11" s="17" t="s">
        <v>26</v>
      </c>
    </row>
    <row r="12" customFormat="false" ht="15" hidden="false" customHeight="false" outlineLevel="0" collapsed="false">
      <c r="A12" s="18" t="s">
        <v>141</v>
      </c>
      <c r="B12" s="18" t="s">
        <v>142</v>
      </c>
      <c r="C12" s="18" t="s">
        <v>122</v>
      </c>
      <c r="D12" s="18" t="s">
        <v>122</v>
      </c>
      <c r="E12" s="18" t="s">
        <v>122</v>
      </c>
      <c r="F12" s="18" t="s">
        <v>122</v>
      </c>
      <c r="G12" s="18" t="s">
        <v>122</v>
      </c>
      <c r="H12" s="18" t="s">
        <v>122</v>
      </c>
      <c r="I12" s="17" t="s">
        <v>26</v>
      </c>
    </row>
    <row r="13" customFormat="false" ht="15" hidden="false" customHeight="false" outlineLevel="0" collapsed="false">
      <c r="A13" s="14" t="s">
        <v>143</v>
      </c>
      <c r="B13" s="14" t="s">
        <v>144</v>
      </c>
      <c r="C13" s="14" t="s">
        <v>122</v>
      </c>
      <c r="D13" s="14" t="s">
        <v>122</v>
      </c>
      <c r="E13" s="14" t="s">
        <v>122</v>
      </c>
      <c r="F13" s="14" t="s">
        <v>122</v>
      </c>
      <c r="G13" s="14" t="s">
        <v>122</v>
      </c>
      <c r="H13" s="14" t="s">
        <v>145</v>
      </c>
      <c r="I13" s="17" t="s">
        <v>124</v>
      </c>
    </row>
    <row r="14" customFormat="false" ht="15" hidden="false" customHeight="false" outlineLevel="0" collapsed="false">
      <c r="A14" s="18" t="s">
        <v>146</v>
      </c>
      <c r="B14" s="18" t="s">
        <v>140</v>
      </c>
      <c r="C14" s="18" t="s">
        <v>122</v>
      </c>
      <c r="D14" s="18" t="s">
        <v>122</v>
      </c>
      <c r="E14" s="18" t="s">
        <v>122</v>
      </c>
      <c r="F14" s="18" t="s">
        <v>122</v>
      </c>
      <c r="G14" s="18" t="s">
        <v>122</v>
      </c>
      <c r="H14" s="18" t="s">
        <v>122</v>
      </c>
      <c r="I14" s="20" t="s">
        <v>28</v>
      </c>
    </row>
  </sheetData>
  <autoFilter ref="A4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40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15" hidden="false" customHeight="false" outlineLevel="0" collapsed="false">
      <c r="A4" s="13" t="s">
        <v>149</v>
      </c>
      <c r="B4" s="13" t="s">
        <v>150</v>
      </c>
      <c r="C4" s="13" t="s">
        <v>151</v>
      </c>
      <c r="D4" s="13" t="s">
        <v>115</v>
      </c>
      <c r="E4" s="13" t="s">
        <v>152</v>
      </c>
      <c r="F4" s="13" t="s">
        <v>153</v>
      </c>
      <c r="G4" s="13" t="s">
        <v>66</v>
      </c>
    </row>
    <row r="5" customFormat="false" ht="23.85" hidden="false" customHeight="false" outlineLevel="0" collapsed="false">
      <c r="A5" s="14" t="n">
        <v>1</v>
      </c>
      <c r="B5" s="14" t="s">
        <v>154</v>
      </c>
      <c r="C5" s="14" t="s">
        <v>155</v>
      </c>
      <c r="D5" s="14" t="s">
        <v>156</v>
      </c>
      <c r="E5" s="14" t="s">
        <v>157</v>
      </c>
      <c r="F5" s="14" t="s">
        <v>158</v>
      </c>
      <c r="G5" s="20" t="s">
        <v>28</v>
      </c>
    </row>
    <row r="6" customFormat="false" ht="23.85" hidden="false" customHeight="false" outlineLevel="0" collapsed="false">
      <c r="A6" s="18" t="n">
        <v>2</v>
      </c>
      <c r="B6" s="18" t="s">
        <v>159</v>
      </c>
      <c r="C6" s="18" t="s">
        <v>160</v>
      </c>
      <c r="D6" s="18" t="s">
        <v>161</v>
      </c>
      <c r="E6" s="18" t="s">
        <v>162</v>
      </c>
      <c r="F6" s="18" t="s">
        <v>163</v>
      </c>
      <c r="G6" s="17" t="s">
        <v>26</v>
      </c>
    </row>
    <row r="7" customFormat="false" ht="23.85" hidden="false" customHeight="false" outlineLevel="0" collapsed="false">
      <c r="A7" s="14" t="n">
        <v>3</v>
      </c>
      <c r="B7" s="14" t="s">
        <v>164</v>
      </c>
      <c r="C7" s="14" t="s">
        <v>165</v>
      </c>
      <c r="D7" s="14" t="s">
        <v>166</v>
      </c>
      <c r="E7" s="14" t="s">
        <v>167</v>
      </c>
      <c r="F7" s="14" t="s">
        <v>168</v>
      </c>
      <c r="G7" s="17" t="s">
        <v>26</v>
      </c>
    </row>
    <row r="8" customFormat="false" ht="15" hidden="false" customHeight="false" outlineLevel="0" collapsed="false">
      <c r="A8" s="18" t="n">
        <v>4</v>
      </c>
      <c r="B8" s="18" t="s">
        <v>169</v>
      </c>
      <c r="C8" s="18" t="s">
        <v>170</v>
      </c>
      <c r="D8" s="18" t="s">
        <v>138</v>
      </c>
      <c r="E8" s="18" t="s">
        <v>171</v>
      </c>
      <c r="F8" s="18" t="s">
        <v>172</v>
      </c>
      <c r="G8" s="17" t="s">
        <v>26</v>
      </c>
    </row>
    <row r="9" customFormat="false" ht="15" hidden="false" customHeight="false" outlineLevel="0" collapsed="false">
      <c r="A9" s="14" t="n">
        <v>5</v>
      </c>
      <c r="B9" s="14" t="s">
        <v>173</v>
      </c>
      <c r="C9" s="14" t="s">
        <v>174</v>
      </c>
      <c r="D9" s="14" t="s">
        <v>121</v>
      </c>
      <c r="E9" s="14" t="s">
        <v>175</v>
      </c>
      <c r="F9" s="14" t="s">
        <v>176</v>
      </c>
      <c r="G9" s="17" t="s">
        <v>26</v>
      </c>
    </row>
    <row r="10" customFormat="false" ht="23.85" hidden="false" customHeight="false" outlineLevel="0" collapsed="false">
      <c r="A10" s="18" t="s">
        <v>177</v>
      </c>
      <c r="B10" s="18" t="s">
        <v>178</v>
      </c>
      <c r="C10" s="18" t="s">
        <v>179</v>
      </c>
      <c r="D10" s="18" t="s">
        <v>180</v>
      </c>
      <c r="E10" s="18" t="s">
        <v>181</v>
      </c>
      <c r="F10" s="18" t="s">
        <v>182</v>
      </c>
      <c r="G10" s="20" t="s">
        <v>28</v>
      </c>
    </row>
  </sheetData>
  <autoFilter ref="A4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48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13" t="s">
        <v>185</v>
      </c>
      <c r="B4" s="13" t="s">
        <v>186</v>
      </c>
      <c r="C4" s="13" t="s">
        <v>187</v>
      </c>
      <c r="D4" s="13" t="s">
        <v>188</v>
      </c>
      <c r="E4" s="13" t="s">
        <v>66</v>
      </c>
    </row>
    <row r="5" customFormat="false" ht="15" hidden="false" customHeight="false" outlineLevel="0" collapsed="false">
      <c r="A5" s="14" t="s">
        <v>189</v>
      </c>
      <c r="B5" s="14" t="s">
        <v>190</v>
      </c>
      <c r="C5" s="14" t="s">
        <v>191</v>
      </c>
      <c r="D5" s="14" t="s">
        <v>192</v>
      </c>
      <c r="E5" s="21" t="s">
        <v>30</v>
      </c>
    </row>
    <row r="6" customFormat="false" ht="15" hidden="false" customHeight="false" outlineLevel="0" collapsed="false">
      <c r="A6" s="18" t="s">
        <v>193</v>
      </c>
      <c r="B6" s="18" t="s">
        <v>194</v>
      </c>
      <c r="C6" s="18" t="s">
        <v>195</v>
      </c>
      <c r="D6" s="18" t="s">
        <v>196</v>
      </c>
      <c r="E6" s="17" t="s">
        <v>26</v>
      </c>
    </row>
    <row r="7" customFormat="false" ht="15" hidden="false" customHeight="false" outlineLevel="0" collapsed="false">
      <c r="A7" s="14" t="s">
        <v>197</v>
      </c>
      <c r="B7" s="14" t="s">
        <v>198</v>
      </c>
      <c r="C7" s="14" t="s">
        <v>199</v>
      </c>
      <c r="D7" s="14" t="s">
        <v>200</v>
      </c>
      <c r="E7" s="21" t="s">
        <v>30</v>
      </c>
    </row>
    <row r="8" customFormat="false" ht="23.85" hidden="false" customHeight="false" outlineLevel="0" collapsed="false">
      <c r="A8" s="18" t="s">
        <v>201</v>
      </c>
      <c r="B8" s="18" t="s">
        <v>202</v>
      </c>
      <c r="C8" s="18" t="s">
        <v>203</v>
      </c>
      <c r="D8" s="18" t="s">
        <v>204</v>
      </c>
      <c r="E8" s="17" t="s">
        <v>26</v>
      </c>
    </row>
    <row r="9" customFormat="false" ht="15" hidden="false" customHeight="false" outlineLevel="0" collapsed="false">
      <c r="A9" s="14" t="s">
        <v>205</v>
      </c>
      <c r="B9" s="14" t="s">
        <v>206</v>
      </c>
      <c r="C9" s="14" t="s">
        <v>207</v>
      </c>
      <c r="D9" s="14" t="s">
        <v>208</v>
      </c>
      <c r="E9" s="17" t="s">
        <v>26</v>
      </c>
    </row>
    <row r="10" customFormat="false" ht="15" hidden="false" customHeight="false" outlineLevel="0" collapsed="false">
      <c r="A10" s="18" t="s">
        <v>209</v>
      </c>
      <c r="B10" s="18" t="s">
        <v>210</v>
      </c>
      <c r="C10" s="18" t="s">
        <v>211</v>
      </c>
      <c r="D10" s="18"/>
      <c r="E10" s="20" t="s">
        <v>28</v>
      </c>
    </row>
    <row r="11" customFormat="false" ht="15" hidden="false" customHeight="false" outlineLevel="0" collapsed="false">
      <c r="A11" s="14" t="s">
        <v>212</v>
      </c>
      <c r="B11" s="14" t="s">
        <v>213</v>
      </c>
      <c r="C11" s="14" t="s">
        <v>214</v>
      </c>
      <c r="D11" s="14" t="s">
        <v>215</v>
      </c>
      <c r="E11" s="21" t="s">
        <v>30</v>
      </c>
    </row>
  </sheetData>
  <autoFilter ref="A4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15" hidden="false" customHeight="false" outlineLevel="0" collapsed="false">
      <c r="A4" s="13" t="s">
        <v>218</v>
      </c>
      <c r="B4" s="13" t="s">
        <v>219</v>
      </c>
      <c r="C4" s="13" t="s">
        <v>220</v>
      </c>
      <c r="D4" s="13" t="s">
        <v>221</v>
      </c>
      <c r="E4" s="13" t="s">
        <v>65</v>
      </c>
      <c r="F4" s="13" t="s">
        <v>66</v>
      </c>
    </row>
    <row r="5" customFormat="false" ht="23.85" hidden="false" customHeight="false" outlineLevel="0" collapsed="false">
      <c r="A5" s="14" t="s">
        <v>222</v>
      </c>
      <c r="B5" s="14" t="s">
        <v>223</v>
      </c>
      <c r="C5" s="14" t="s">
        <v>224</v>
      </c>
      <c r="D5" s="14" t="s">
        <v>225</v>
      </c>
      <c r="E5" s="14" t="s">
        <v>226</v>
      </c>
      <c r="F5" s="17" t="s">
        <v>26</v>
      </c>
    </row>
    <row r="6" customFormat="false" ht="35.05" hidden="false" customHeight="false" outlineLevel="0" collapsed="false">
      <c r="A6" s="18" t="s">
        <v>227</v>
      </c>
      <c r="B6" s="18" t="s">
        <v>228</v>
      </c>
      <c r="C6" s="18" t="s">
        <v>229</v>
      </c>
      <c r="D6" s="18" t="s">
        <v>230</v>
      </c>
      <c r="E6" s="18" t="s">
        <v>231</v>
      </c>
      <c r="F6" s="17" t="s">
        <v>26</v>
      </c>
    </row>
    <row r="7" customFormat="false" ht="23.85" hidden="false" customHeight="false" outlineLevel="0" collapsed="false">
      <c r="A7" s="14" t="s">
        <v>232</v>
      </c>
      <c r="B7" s="14" t="s">
        <v>233</v>
      </c>
      <c r="C7" s="14" t="s">
        <v>234</v>
      </c>
      <c r="D7" s="14" t="s">
        <v>235</v>
      </c>
      <c r="E7" s="14" t="s">
        <v>236</v>
      </c>
      <c r="F7" s="17" t="s">
        <v>26</v>
      </c>
    </row>
    <row r="8" customFormat="false" ht="23.85" hidden="false" customHeight="false" outlineLevel="0" collapsed="false">
      <c r="A8" s="18" t="s">
        <v>237</v>
      </c>
      <c r="B8" s="18" t="s">
        <v>238</v>
      </c>
      <c r="C8" s="18" t="s">
        <v>239</v>
      </c>
      <c r="D8" s="18" t="s">
        <v>240</v>
      </c>
      <c r="E8" s="18" t="s">
        <v>241</v>
      </c>
      <c r="F8" s="17" t="s">
        <v>26</v>
      </c>
    </row>
    <row r="9" customFormat="false" ht="23.85" hidden="false" customHeight="false" outlineLevel="0" collapsed="false">
      <c r="A9" s="14" t="s">
        <v>242</v>
      </c>
      <c r="B9" s="14" t="s">
        <v>243</v>
      </c>
      <c r="C9" s="14" t="s">
        <v>244</v>
      </c>
      <c r="D9" s="14" t="s">
        <v>245</v>
      </c>
      <c r="E9" s="14" t="s">
        <v>246</v>
      </c>
      <c r="F9" s="17" t="s">
        <v>247</v>
      </c>
    </row>
    <row r="10" customFormat="false" ht="23.85" hidden="false" customHeight="false" outlineLevel="0" collapsed="false">
      <c r="A10" s="18" t="s">
        <v>248</v>
      </c>
      <c r="B10" s="18" t="s">
        <v>249</v>
      </c>
      <c r="C10" s="18" t="s">
        <v>250</v>
      </c>
      <c r="D10" s="18" t="s">
        <v>251</v>
      </c>
      <c r="E10" s="18" t="s">
        <v>252</v>
      </c>
      <c r="F10" s="17" t="s">
        <v>247</v>
      </c>
    </row>
    <row r="11" customFormat="false" ht="15" hidden="false" customHeight="false" outlineLevel="0" collapsed="false">
      <c r="A11" s="14" t="s">
        <v>253</v>
      </c>
      <c r="B11" s="14" t="s">
        <v>254</v>
      </c>
      <c r="C11" s="14" t="s">
        <v>255</v>
      </c>
      <c r="D11" s="14" t="s">
        <v>256</v>
      </c>
      <c r="E11" s="14" t="s">
        <v>257</v>
      </c>
      <c r="F11" s="21" t="s">
        <v>30</v>
      </c>
    </row>
  </sheetData>
  <autoFilter ref="A4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4" customFormat="false" ht="15" hidden="false" customHeight="false" outlineLevel="0" collapsed="false">
      <c r="A4" s="13" t="s">
        <v>260</v>
      </c>
      <c r="B4" s="13" t="s">
        <v>185</v>
      </c>
      <c r="C4" s="13" t="s">
        <v>261</v>
      </c>
      <c r="D4" s="13" t="s">
        <v>262</v>
      </c>
      <c r="E4" s="13" t="s">
        <v>263</v>
      </c>
      <c r="F4" s="13" t="s">
        <v>65</v>
      </c>
      <c r="G4" s="13" t="s">
        <v>66</v>
      </c>
    </row>
    <row r="5" customFormat="false" ht="23.85" hidden="false" customHeight="false" outlineLevel="0" collapsed="false">
      <c r="A5" s="14" t="s">
        <v>264</v>
      </c>
      <c r="B5" s="14" t="s">
        <v>265</v>
      </c>
      <c r="C5" s="14" t="s">
        <v>266</v>
      </c>
      <c r="D5" s="14" t="s">
        <v>267</v>
      </c>
      <c r="E5" s="14" t="s">
        <v>177</v>
      </c>
      <c r="F5" s="14" t="s">
        <v>268</v>
      </c>
      <c r="G5" s="17" t="s">
        <v>26</v>
      </c>
    </row>
    <row r="6" customFormat="false" ht="23.85" hidden="false" customHeight="false" outlineLevel="0" collapsed="false">
      <c r="A6" s="18" t="s">
        <v>269</v>
      </c>
      <c r="B6" s="18" t="s">
        <v>270</v>
      </c>
      <c r="C6" s="18" t="s">
        <v>271</v>
      </c>
      <c r="D6" s="18" t="s">
        <v>272</v>
      </c>
      <c r="E6" s="18" t="s">
        <v>177</v>
      </c>
      <c r="F6" s="18"/>
      <c r="G6" s="17" t="s">
        <v>26</v>
      </c>
    </row>
    <row r="7" customFormat="false" ht="15" hidden="false" customHeight="false" outlineLevel="0" collapsed="false">
      <c r="A7" s="14" t="s">
        <v>273</v>
      </c>
      <c r="B7" s="14" t="s">
        <v>274</v>
      </c>
      <c r="C7" s="14" t="s">
        <v>275</v>
      </c>
      <c r="D7" s="14" t="s">
        <v>276</v>
      </c>
      <c r="E7" s="14" t="s">
        <v>177</v>
      </c>
      <c r="F7" s="14"/>
      <c r="G7" s="17" t="s">
        <v>26</v>
      </c>
    </row>
    <row r="8" customFormat="false" ht="23.85" hidden="false" customHeight="false" outlineLevel="0" collapsed="false">
      <c r="A8" s="18" t="s">
        <v>277</v>
      </c>
      <c r="B8" s="18" t="s">
        <v>278</v>
      </c>
      <c r="C8" s="18" t="s">
        <v>279</v>
      </c>
      <c r="D8" s="18" t="s">
        <v>256</v>
      </c>
      <c r="E8" s="18" t="s">
        <v>177</v>
      </c>
      <c r="F8" s="18" t="s">
        <v>280</v>
      </c>
      <c r="G8" s="17" t="s">
        <v>124</v>
      </c>
    </row>
    <row r="9" customFormat="false" ht="23.85" hidden="false" customHeight="false" outlineLevel="0" collapsed="false">
      <c r="A9" s="14" t="s">
        <v>281</v>
      </c>
      <c r="B9" s="14" t="s">
        <v>278</v>
      </c>
      <c r="C9" s="14" t="s">
        <v>282</v>
      </c>
      <c r="D9" s="14" t="s">
        <v>283</v>
      </c>
      <c r="E9" s="14" t="s">
        <v>284</v>
      </c>
      <c r="F9" s="14" t="s">
        <v>285</v>
      </c>
      <c r="G9" s="17" t="s">
        <v>247</v>
      </c>
    </row>
    <row r="10" customFormat="false" ht="15" hidden="false" customHeight="false" outlineLevel="0" collapsed="false">
      <c r="A10" s="18" t="s">
        <v>286</v>
      </c>
      <c r="B10" s="18" t="s">
        <v>278</v>
      </c>
      <c r="C10" s="18" t="s">
        <v>287</v>
      </c>
      <c r="D10" s="18" t="s">
        <v>256</v>
      </c>
      <c r="E10" s="18" t="s">
        <v>177</v>
      </c>
      <c r="F10" s="18" t="s">
        <v>288</v>
      </c>
      <c r="G10" s="21" t="s">
        <v>289</v>
      </c>
    </row>
    <row r="11" customFormat="false" ht="15" hidden="false" customHeight="false" outlineLevel="0" collapsed="false">
      <c r="A11" s="14" t="s">
        <v>235</v>
      </c>
      <c r="B11" s="14" t="s">
        <v>265</v>
      </c>
      <c r="C11" s="14" t="s">
        <v>290</v>
      </c>
      <c r="D11" s="14" t="s">
        <v>290</v>
      </c>
      <c r="E11" s="14" t="s">
        <v>177</v>
      </c>
      <c r="F11" s="14" t="s">
        <v>291</v>
      </c>
      <c r="G11" s="22" t="s">
        <v>32</v>
      </c>
    </row>
    <row r="12" customFormat="false" ht="23.85" hidden="false" customHeight="false" outlineLevel="0" collapsed="false">
      <c r="A12" s="18" t="s">
        <v>292</v>
      </c>
      <c r="B12" s="18" t="s">
        <v>278</v>
      </c>
      <c r="C12" s="18" t="s">
        <v>293</v>
      </c>
      <c r="D12" s="18" t="s">
        <v>256</v>
      </c>
      <c r="E12" s="18" t="s">
        <v>177</v>
      </c>
      <c r="F12" s="18" t="s">
        <v>294</v>
      </c>
      <c r="G12" s="17" t="s">
        <v>26</v>
      </c>
    </row>
    <row r="13" customFormat="false" ht="23.85" hidden="false" customHeight="false" outlineLevel="0" collapsed="false">
      <c r="A13" s="14" t="s">
        <v>295</v>
      </c>
      <c r="B13" s="14" t="s">
        <v>278</v>
      </c>
      <c r="C13" s="14" t="s">
        <v>296</v>
      </c>
      <c r="D13" s="14" t="s">
        <v>256</v>
      </c>
      <c r="E13" s="14" t="s">
        <v>177</v>
      </c>
      <c r="F13" s="14"/>
      <c r="G13" s="17" t="s">
        <v>26</v>
      </c>
    </row>
    <row r="14" customFormat="false" ht="15" hidden="false" customHeight="false" outlineLevel="0" collapsed="false">
      <c r="A14" s="18" t="s">
        <v>245</v>
      </c>
      <c r="B14" s="18" t="s">
        <v>265</v>
      </c>
      <c r="C14" s="18" t="s">
        <v>297</v>
      </c>
      <c r="D14" s="18" t="s">
        <v>298</v>
      </c>
      <c r="E14" s="18" t="s">
        <v>177</v>
      </c>
      <c r="F14" s="18" t="s">
        <v>299</v>
      </c>
      <c r="G14" s="17" t="s">
        <v>26</v>
      </c>
    </row>
    <row r="15" customFormat="false" ht="35.05" hidden="false" customHeight="false" outlineLevel="0" collapsed="false">
      <c r="A15" s="14" t="s">
        <v>300</v>
      </c>
      <c r="B15" s="14" t="s">
        <v>301</v>
      </c>
      <c r="C15" s="14" t="s">
        <v>302</v>
      </c>
      <c r="D15" s="14" t="s">
        <v>276</v>
      </c>
      <c r="E15" s="14" t="s">
        <v>303</v>
      </c>
      <c r="F15" s="14" t="s">
        <v>304</v>
      </c>
      <c r="G15" s="17" t="s">
        <v>26</v>
      </c>
    </row>
    <row r="16" customFormat="false" ht="23.85" hidden="false" customHeight="false" outlineLevel="0" collapsed="false">
      <c r="A16" s="18" t="s">
        <v>248</v>
      </c>
      <c r="B16" s="18" t="s">
        <v>197</v>
      </c>
      <c r="C16" s="18" t="s">
        <v>305</v>
      </c>
      <c r="D16" s="18" t="s">
        <v>306</v>
      </c>
      <c r="E16" s="18" t="s">
        <v>177</v>
      </c>
      <c r="F16" s="18" t="s">
        <v>307</v>
      </c>
      <c r="G16" s="17" t="s">
        <v>124</v>
      </c>
    </row>
    <row r="17" customFormat="false" ht="23.85" hidden="false" customHeight="false" outlineLevel="0" collapsed="false">
      <c r="A17" s="14" t="s">
        <v>308</v>
      </c>
      <c r="B17" s="14" t="s">
        <v>309</v>
      </c>
      <c r="C17" s="14" t="s">
        <v>310</v>
      </c>
      <c r="D17" s="14" t="s">
        <v>310</v>
      </c>
      <c r="E17" s="14" t="s">
        <v>311</v>
      </c>
      <c r="F17" s="14" t="s">
        <v>312</v>
      </c>
      <c r="G17" s="21" t="s">
        <v>30</v>
      </c>
    </row>
  </sheetData>
  <autoFilter ref="A4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11" t="s">
        <v>315</v>
      </c>
    </row>
    <row r="5" customFormat="false" ht="15" hidden="false" customHeight="false" outlineLevel="0" collapsed="false">
      <c r="A5" s="4" t="s">
        <v>316</v>
      </c>
      <c r="B5" s="23" t="n">
        <v>4500</v>
      </c>
      <c r="C5" s="2" t="s">
        <v>317</v>
      </c>
    </row>
    <row r="6" customFormat="false" ht="15" hidden="false" customHeight="false" outlineLevel="0" collapsed="false">
      <c r="A6" s="4" t="s">
        <v>318</v>
      </c>
      <c r="B6" s="24" t="n">
        <v>344.4</v>
      </c>
      <c r="C6" s="2" t="s">
        <v>319</v>
      </c>
    </row>
    <row r="7" customFormat="false" ht="15" hidden="false" customHeight="false" outlineLevel="0" collapsed="false">
      <c r="A7" s="4" t="s">
        <v>320</v>
      </c>
      <c r="B7" s="10" t="n">
        <v>16</v>
      </c>
      <c r="C7" s="2" t="s">
        <v>321</v>
      </c>
    </row>
    <row r="8" customFormat="false" ht="15" hidden="false" customHeight="false" outlineLevel="0" collapsed="false">
      <c r="A8" s="4" t="s">
        <v>322</v>
      </c>
      <c r="B8" s="10" t="n">
        <v>2</v>
      </c>
      <c r="C8" s="2" t="s">
        <v>323</v>
      </c>
    </row>
    <row r="11" customFormat="false" ht="23.85" hidden="false" customHeight="false" outlineLevel="0" collapsed="false">
      <c r="A11" s="13" t="s">
        <v>324</v>
      </c>
      <c r="B11" s="13" t="s">
        <v>325</v>
      </c>
      <c r="C11" s="13" t="s">
        <v>326</v>
      </c>
      <c r="D11" s="13" t="s">
        <v>327</v>
      </c>
      <c r="E11" s="13" t="s">
        <v>49</v>
      </c>
      <c r="F11" s="13" t="s">
        <v>328</v>
      </c>
      <c r="G11" s="13" t="s">
        <v>329</v>
      </c>
      <c r="H11" s="13" t="s">
        <v>330</v>
      </c>
      <c r="I11" s="13" t="s">
        <v>331</v>
      </c>
      <c r="J11" s="13" t="s">
        <v>332</v>
      </c>
      <c r="K11" s="13" t="s">
        <v>333</v>
      </c>
      <c r="L11" s="13" t="s">
        <v>334</v>
      </c>
      <c r="M11" s="13" t="s">
        <v>335</v>
      </c>
      <c r="N11" s="13" t="s">
        <v>336</v>
      </c>
      <c r="O11" s="13" t="s">
        <v>337</v>
      </c>
      <c r="P11" s="13" t="s">
        <v>338</v>
      </c>
    </row>
    <row r="12" customFormat="false" ht="15" hidden="false" customHeight="false" outlineLevel="0" collapsed="false">
      <c r="A12" s="25" t="s">
        <v>339</v>
      </c>
      <c r="B12" s="26" t="s">
        <v>340</v>
      </c>
      <c r="C12" s="26" t="n">
        <v>48</v>
      </c>
      <c r="D12" s="26" t="n">
        <v>2</v>
      </c>
      <c r="E12" s="26" t="s">
        <v>73</v>
      </c>
      <c r="F12" s="26" t="n">
        <v>8</v>
      </c>
      <c r="G12" s="25" t="n">
        <f aca="false">C12*D12</f>
        <v>96</v>
      </c>
      <c r="H12" s="25" t="n">
        <f aca="false">D12*MAX(C12,$B$7)</f>
        <v>96</v>
      </c>
      <c r="I12" s="27" t="n">
        <f aca="false">H12*$B$6</f>
        <v>33062.4</v>
      </c>
      <c r="J12" s="25" t="n">
        <f aca="false">G12/$B$8</f>
        <v>48</v>
      </c>
      <c r="K12" s="25" t="n">
        <f aca="false">1</f>
        <v>1</v>
      </c>
      <c r="L12" s="25" t="n">
        <f aca="false">F12</f>
        <v>8</v>
      </c>
      <c r="M12" s="25" t="n">
        <f aca="false">F12</f>
        <v>8</v>
      </c>
      <c r="N12" s="27" t="n">
        <f aca="false">M12*$B$5</f>
        <v>36000</v>
      </c>
      <c r="O12" s="25" t="n">
        <f aca="false">INDEX(GPU_Slicing!$C$5:$C$14,MATCH(E12,GPU_Slicing!$A$5:$A$14,0))</f>
        <v>32</v>
      </c>
      <c r="P12" s="25" t="n">
        <f aca="false">F12*O12</f>
        <v>256</v>
      </c>
    </row>
    <row r="13" customFormat="false" ht="15" hidden="false" customHeight="false" outlineLevel="0" collapsed="false">
      <c r="A13" s="25" t="s">
        <v>341</v>
      </c>
      <c r="B13" s="26" t="s">
        <v>342</v>
      </c>
      <c r="C13" s="26" t="n">
        <v>64</v>
      </c>
      <c r="D13" s="26" t="n">
        <v>2</v>
      </c>
      <c r="E13" s="26" t="s">
        <v>78</v>
      </c>
      <c r="F13" s="26" t="n">
        <v>8</v>
      </c>
      <c r="G13" s="25" t="n">
        <f aca="false">C13*D13</f>
        <v>128</v>
      </c>
      <c r="H13" s="25" t="n">
        <f aca="false">D13*MAX(C13,$B$7)</f>
        <v>128</v>
      </c>
      <c r="I13" s="27" t="n">
        <f aca="false">H13*$B$6</f>
        <v>44083.2</v>
      </c>
      <c r="J13" s="25" t="n">
        <f aca="false">G13/$B$8</f>
        <v>64</v>
      </c>
      <c r="K13" s="25" t="n">
        <f aca="false">1</f>
        <v>1</v>
      </c>
      <c r="L13" s="25" t="n">
        <f aca="false">F13</f>
        <v>8</v>
      </c>
      <c r="M13" s="25" t="n">
        <f aca="false">F13</f>
        <v>8</v>
      </c>
      <c r="N13" s="27" t="n">
        <f aca="false">M13*$B$5</f>
        <v>36000</v>
      </c>
      <c r="O13" s="25" t="n">
        <f aca="false">INDEX(GPU_Slicing!$C$5:$C$14,MATCH(E13,GPU_Slicing!$A$5:$A$14,0))</f>
        <v>96</v>
      </c>
      <c r="P13" s="25" t="n">
        <f aca="false">F13*O13</f>
        <v>768</v>
      </c>
    </row>
    <row r="14" customFormat="false" ht="15" hidden="false" customHeight="false" outlineLevel="0" collapsed="false">
      <c r="A14" s="25" t="s">
        <v>343</v>
      </c>
      <c r="B14" s="26" t="s">
        <v>344</v>
      </c>
      <c r="C14" s="26" t="n">
        <v>64</v>
      </c>
      <c r="D14" s="26" t="n">
        <v>2</v>
      </c>
      <c r="E14" s="26" t="s">
        <v>87</v>
      </c>
      <c r="F14" s="26" t="n">
        <v>8</v>
      </c>
      <c r="G14" s="25" t="n">
        <f aca="false">C14*D14</f>
        <v>128</v>
      </c>
      <c r="H14" s="25" t="n">
        <f aca="false">D14*MAX(C14,$B$7)</f>
        <v>128</v>
      </c>
      <c r="I14" s="27" t="n">
        <f aca="false">H14*$B$6</f>
        <v>44083.2</v>
      </c>
      <c r="J14" s="25" t="n">
        <f aca="false">G14/$B$8</f>
        <v>64</v>
      </c>
      <c r="K14" s="25" t="n">
        <f aca="false">1</f>
        <v>1</v>
      </c>
      <c r="L14" s="25" t="n">
        <f aca="false">F14</f>
        <v>8</v>
      </c>
      <c r="M14" s="25" t="n">
        <f aca="false">F14</f>
        <v>8</v>
      </c>
      <c r="N14" s="27" t="n">
        <f aca="false">M14*$B$5</f>
        <v>36000</v>
      </c>
      <c r="O14" s="25" t="n">
        <f aca="false">INDEX(GPU_Slicing!$C$5:$C$14,MATCH(E14,GPU_Slicing!$A$5:$A$14,0))</f>
        <v>141</v>
      </c>
      <c r="P14" s="25" t="n">
        <f aca="false">F14*O14</f>
        <v>1128</v>
      </c>
    </row>
    <row r="15" customFormat="false" ht="15" hidden="false" customHeight="false" outlineLevel="0" collapsed="false">
      <c r="A15" s="25" t="s">
        <v>345</v>
      </c>
      <c r="B15" s="26" t="s">
        <v>346</v>
      </c>
      <c r="C15" s="26" t="n">
        <v>72</v>
      </c>
      <c r="D15" s="26" t="n">
        <v>2</v>
      </c>
      <c r="E15" s="26" t="s">
        <v>95</v>
      </c>
      <c r="F15" s="26" t="n">
        <v>8</v>
      </c>
      <c r="G15" s="25" t="n">
        <f aca="false">C15*D15</f>
        <v>144</v>
      </c>
      <c r="H15" s="25" t="n">
        <f aca="false">D15*MAX(C15,$B$7)</f>
        <v>144</v>
      </c>
      <c r="I15" s="27" t="n">
        <f aca="false">H15*$B$6</f>
        <v>49593.6</v>
      </c>
      <c r="J15" s="25" t="n">
        <f aca="false">G15/$B$8</f>
        <v>72</v>
      </c>
      <c r="K15" s="25" t="n">
        <f aca="false">1</f>
        <v>1</v>
      </c>
      <c r="L15" s="25" t="n">
        <f aca="false">F15</f>
        <v>8</v>
      </c>
      <c r="M15" s="25" t="n">
        <f aca="false">F15</f>
        <v>8</v>
      </c>
      <c r="N15" s="27" t="n">
        <f aca="false">M15*$B$5</f>
        <v>36000</v>
      </c>
      <c r="O15" s="25" t="n">
        <f aca="false">INDEX(GPU_Slicing!$C$5:$C$14,MATCH(E15,GPU_Slicing!$A$5:$A$14,0))</f>
        <v>279</v>
      </c>
      <c r="P15" s="25" t="n">
        <f aca="false">F15*O15</f>
        <v>2232</v>
      </c>
    </row>
    <row r="16" customFormat="false" ht="15" hidden="false" customHeight="false" outlineLevel="0" collapsed="false">
      <c r="A16" s="25" t="s">
        <v>347</v>
      </c>
      <c r="B16" s="26" t="s">
        <v>348</v>
      </c>
      <c r="C16" s="26" t="n">
        <v>72</v>
      </c>
      <c r="D16" s="26" t="n">
        <v>2</v>
      </c>
      <c r="E16" s="26" t="s">
        <v>78</v>
      </c>
      <c r="F16" s="26" t="n">
        <v>8</v>
      </c>
      <c r="G16" s="25" t="n">
        <f aca="false">C16*D16</f>
        <v>144</v>
      </c>
      <c r="H16" s="25" t="n">
        <f aca="false">D16*MAX(C16,$B$7)</f>
        <v>144</v>
      </c>
      <c r="I16" s="27" t="n">
        <f aca="false">H16*$B$6</f>
        <v>49593.6</v>
      </c>
      <c r="J16" s="25" t="n">
        <f aca="false">G16/$B$8</f>
        <v>72</v>
      </c>
      <c r="K16" s="25" t="n">
        <f aca="false">1</f>
        <v>1</v>
      </c>
      <c r="L16" s="25" t="n">
        <f aca="false">F16</f>
        <v>8</v>
      </c>
      <c r="M16" s="25" t="n">
        <f aca="false">F16</f>
        <v>8</v>
      </c>
      <c r="N16" s="27" t="n">
        <f aca="false">M16*$B$5</f>
        <v>36000</v>
      </c>
      <c r="O16" s="25" t="n">
        <f aca="false">INDEX(GPU_Slicing!$C$5:$C$14,MATCH(E16,GPU_Slicing!$A$5:$A$14,0))</f>
        <v>96</v>
      </c>
      <c r="P16" s="25" t="n">
        <f aca="false">F16*O16</f>
        <v>768</v>
      </c>
    </row>
    <row r="18" customFormat="false" ht="30" hidden="false" customHeight="true" outlineLevel="0" collapsed="false">
      <c r="A18" s="28" t="s">
        <v>349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</sheetData>
  <mergeCells count="1">
    <mergeCell ref="A18:P19"/>
  </mergeCells>
  <dataValidations count="1">
    <dataValidation allowBlank="false" errorStyle="stop" operator="between" showDropDown="false" showErrorMessage="false" showInputMessage="false" sqref="E12:E16" type="list">
      <formula1>GPU_Slicing!$A$5:$A$14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2" t="s">
        <v>351</v>
      </c>
    </row>
    <row r="4" customFormat="false" ht="15" hidden="false" customHeight="false" outlineLevel="0" collapsed="false">
      <c r="A4" s="13" t="s">
        <v>352</v>
      </c>
      <c r="B4" s="13" t="s">
        <v>353</v>
      </c>
      <c r="C4" s="13" t="s">
        <v>354</v>
      </c>
      <c r="D4" s="13" t="s">
        <v>355</v>
      </c>
      <c r="E4" s="13" t="s">
        <v>356</v>
      </c>
    </row>
    <row r="5" customFormat="false" ht="15" hidden="false" customHeight="false" outlineLevel="0" collapsed="false">
      <c r="A5" s="14" t="n">
        <v>1</v>
      </c>
      <c r="B5" s="14" t="s">
        <v>357</v>
      </c>
      <c r="C5" s="14" t="s">
        <v>358</v>
      </c>
      <c r="D5" s="14" t="s">
        <v>359</v>
      </c>
      <c r="E5" s="14" t="s">
        <v>360</v>
      </c>
    </row>
    <row r="6" customFormat="false" ht="23.85" hidden="false" customHeight="false" outlineLevel="0" collapsed="false">
      <c r="A6" s="18" t="n">
        <v>2</v>
      </c>
      <c r="B6" s="18" t="s">
        <v>361</v>
      </c>
      <c r="C6" s="18" t="s">
        <v>362</v>
      </c>
      <c r="D6" s="18" t="s">
        <v>363</v>
      </c>
      <c r="E6" s="18" t="s">
        <v>364</v>
      </c>
    </row>
    <row r="7" customFormat="false" ht="23.85" hidden="false" customHeight="false" outlineLevel="0" collapsed="false">
      <c r="A7" s="14" t="n">
        <v>3</v>
      </c>
      <c r="B7" s="14" t="s">
        <v>365</v>
      </c>
      <c r="C7" s="14" t="s">
        <v>366</v>
      </c>
      <c r="D7" s="14" t="s">
        <v>367</v>
      </c>
      <c r="E7" s="14" t="s">
        <v>368</v>
      </c>
    </row>
    <row r="8" customFormat="false" ht="23.85" hidden="false" customHeight="false" outlineLevel="0" collapsed="false">
      <c r="A8" s="18" t="n">
        <v>4</v>
      </c>
      <c r="B8" s="18" t="s">
        <v>369</v>
      </c>
      <c r="C8" s="18" t="s">
        <v>370</v>
      </c>
      <c r="D8" s="18" t="s">
        <v>371</v>
      </c>
      <c r="E8" s="18" t="s">
        <v>372</v>
      </c>
    </row>
  </sheetData>
  <autoFilter ref="A4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373</v>
      </c>
    </row>
    <row r="2" customFormat="false" ht="15" hidden="false" customHeight="false" outlineLevel="0" collapsed="false">
      <c r="A2" s="2" t="s">
        <v>374</v>
      </c>
    </row>
    <row r="4" customFormat="false" ht="15" hidden="false" customHeight="false" outlineLevel="0" collapsed="false">
      <c r="A4" s="13" t="s">
        <v>352</v>
      </c>
      <c r="B4" s="13" t="s">
        <v>375</v>
      </c>
      <c r="C4" s="13" t="s">
        <v>376</v>
      </c>
      <c r="D4" s="13" t="s">
        <v>377</v>
      </c>
      <c r="E4" s="13" t="s">
        <v>66</v>
      </c>
    </row>
    <row r="5" customFormat="false" ht="15" hidden="false" customHeight="false" outlineLevel="0" collapsed="false">
      <c r="A5" s="14" t="n">
        <v>1</v>
      </c>
      <c r="B5" s="14" t="s">
        <v>378</v>
      </c>
      <c r="C5" s="14" t="s">
        <v>379</v>
      </c>
      <c r="D5" s="14" t="s">
        <v>380</v>
      </c>
      <c r="E5" s="20" t="s">
        <v>28</v>
      </c>
    </row>
    <row r="6" customFormat="false" ht="15" hidden="false" customHeight="false" outlineLevel="0" collapsed="false">
      <c r="A6" s="18" t="n">
        <v>2</v>
      </c>
      <c r="B6" s="18" t="s">
        <v>381</v>
      </c>
      <c r="C6" s="18" t="s">
        <v>382</v>
      </c>
      <c r="D6" s="18" t="s">
        <v>383</v>
      </c>
      <c r="E6" s="22" t="s">
        <v>32</v>
      </c>
    </row>
    <row r="7" customFormat="false" ht="15" hidden="false" customHeight="false" outlineLevel="0" collapsed="false">
      <c r="A7" s="14" t="n">
        <v>3</v>
      </c>
      <c r="B7" s="14" t="s">
        <v>384</v>
      </c>
      <c r="C7" s="14" t="s">
        <v>385</v>
      </c>
      <c r="D7" s="14" t="s">
        <v>386</v>
      </c>
      <c r="E7" s="22" t="s">
        <v>32</v>
      </c>
    </row>
    <row r="8" customFormat="false" ht="15" hidden="false" customHeight="false" outlineLevel="0" collapsed="false">
      <c r="A8" s="18" t="n">
        <v>4</v>
      </c>
      <c r="B8" s="18" t="s">
        <v>387</v>
      </c>
      <c r="C8" s="18" t="s">
        <v>388</v>
      </c>
      <c r="D8" s="18" t="s">
        <v>389</v>
      </c>
      <c r="E8" s="22" t="s">
        <v>32</v>
      </c>
    </row>
    <row r="9" customFormat="false" ht="15" hidden="false" customHeight="false" outlineLevel="0" collapsed="false">
      <c r="A9" s="14" t="n">
        <v>5</v>
      </c>
      <c r="B9" s="14" t="s">
        <v>390</v>
      </c>
      <c r="C9" s="14" t="s">
        <v>391</v>
      </c>
      <c r="D9" s="14" t="s">
        <v>392</v>
      </c>
      <c r="E9" s="22" t="s">
        <v>32</v>
      </c>
    </row>
    <row r="10" customFormat="false" ht="15" hidden="false" customHeight="false" outlineLevel="0" collapsed="false">
      <c r="A10" s="18" t="n">
        <v>6</v>
      </c>
      <c r="B10" s="18" t="s">
        <v>393</v>
      </c>
      <c r="C10" s="18" t="s">
        <v>394</v>
      </c>
      <c r="D10" s="18" t="s">
        <v>395</v>
      </c>
      <c r="E10" s="21" t="s">
        <v>30</v>
      </c>
    </row>
    <row r="11" customFormat="false" ht="15" hidden="false" customHeight="false" outlineLevel="0" collapsed="false">
      <c r="A11" s="14" t="n">
        <v>7</v>
      </c>
      <c r="B11" s="14" t="s">
        <v>396</v>
      </c>
      <c r="C11" s="14" t="s">
        <v>397</v>
      </c>
      <c r="D11" s="14" t="s">
        <v>398</v>
      </c>
      <c r="E11" s="22" t="s">
        <v>32</v>
      </c>
    </row>
    <row r="12" customFormat="false" ht="15" hidden="false" customHeight="false" outlineLevel="0" collapsed="false">
      <c r="A12" s="18" t="n">
        <v>8</v>
      </c>
      <c r="B12" s="18" t="s">
        <v>399</v>
      </c>
      <c r="C12" s="18" t="s">
        <v>400</v>
      </c>
      <c r="D12" s="18" t="s">
        <v>401</v>
      </c>
      <c r="E12" s="22" t="s">
        <v>32</v>
      </c>
    </row>
  </sheetData>
  <autoFilter ref="A4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13" t="s">
        <v>403</v>
      </c>
      <c r="B4" s="13" t="s">
        <v>404</v>
      </c>
      <c r="C4" s="13" t="s">
        <v>405</v>
      </c>
      <c r="D4" s="13" t="s">
        <v>66</v>
      </c>
    </row>
    <row r="5" customFormat="false" ht="15" hidden="false" customHeight="false" outlineLevel="0" collapsed="false">
      <c r="A5" s="14" t="s">
        <v>406</v>
      </c>
      <c r="B5" s="14" t="s">
        <v>407</v>
      </c>
      <c r="C5" s="14" t="s">
        <v>408</v>
      </c>
      <c r="D5" s="17" t="s">
        <v>26</v>
      </c>
    </row>
    <row r="6" customFormat="false" ht="15" hidden="false" customHeight="false" outlineLevel="0" collapsed="false">
      <c r="A6" s="18" t="s">
        <v>409</v>
      </c>
      <c r="B6" s="18" t="s">
        <v>410</v>
      </c>
      <c r="C6" s="18" t="s">
        <v>411</v>
      </c>
      <c r="D6" s="17" t="s">
        <v>26</v>
      </c>
    </row>
    <row r="7" customFormat="false" ht="15" hidden="false" customHeight="false" outlineLevel="0" collapsed="false">
      <c r="A7" s="14" t="s">
        <v>412</v>
      </c>
      <c r="B7" s="14" t="s">
        <v>413</v>
      </c>
      <c r="C7" s="14" t="s">
        <v>414</v>
      </c>
      <c r="D7" s="17" t="s">
        <v>26</v>
      </c>
    </row>
    <row r="8" customFormat="false" ht="15" hidden="false" customHeight="false" outlineLevel="0" collapsed="false">
      <c r="A8" s="18" t="s">
        <v>415</v>
      </c>
      <c r="B8" s="18" t="s">
        <v>416</v>
      </c>
      <c r="C8" s="18" t="s">
        <v>417</v>
      </c>
      <c r="D8" s="17" t="s">
        <v>26</v>
      </c>
    </row>
    <row r="9" customFormat="false" ht="15" hidden="false" customHeight="false" outlineLevel="0" collapsed="false">
      <c r="A9" s="14" t="s">
        <v>418</v>
      </c>
      <c r="B9" s="14" t="s">
        <v>419</v>
      </c>
      <c r="C9" s="14" t="s">
        <v>420</v>
      </c>
      <c r="D9" s="17" t="s">
        <v>26</v>
      </c>
    </row>
    <row r="10" customFormat="false" ht="15" hidden="false" customHeight="false" outlineLevel="0" collapsed="false">
      <c r="A10" s="18" t="s">
        <v>421</v>
      </c>
      <c r="B10" s="18" t="s">
        <v>422</v>
      </c>
      <c r="C10" s="18" t="s">
        <v>423</v>
      </c>
      <c r="D10" s="17" t="s">
        <v>26</v>
      </c>
    </row>
    <row r="11" customFormat="false" ht="15" hidden="false" customHeight="false" outlineLevel="0" collapsed="false">
      <c r="A11" s="14" t="s">
        <v>424</v>
      </c>
      <c r="B11" s="14" t="s">
        <v>425</v>
      </c>
      <c r="C11" s="14" t="s">
        <v>426</v>
      </c>
      <c r="D11" s="21" t="s">
        <v>30</v>
      </c>
    </row>
    <row r="12" customFormat="false" ht="15" hidden="false" customHeight="false" outlineLevel="0" collapsed="false">
      <c r="A12" s="18" t="s">
        <v>427</v>
      </c>
      <c r="B12" s="18" t="s">
        <v>428</v>
      </c>
      <c r="C12" s="18" t="s">
        <v>429</v>
      </c>
      <c r="D12" s="17" t="s">
        <v>26</v>
      </c>
    </row>
    <row r="13" customFormat="false" ht="15" hidden="false" customHeight="false" outlineLevel="0" collapsed="false">
      <c r="A13" s="14" t="s">
        <v>430</v>
      </c>
      <c r="B13" s="14" t="s">
        <v>431</v>
      </c>
      <c r="C13" s="14" t="s">
        <v>432</v>
      </c>
      <c r="D13" s="17" t="s">
        <v>26</v>
      </c>
    </row>
    <row r="14" customFormat="false" ht="15" hidden="false" customHeight="false" outlineLevel="0" collapsed="false">
      <c r="A14" s="18" t="s">
        <v>433</v>
      </c>
      <c r="B14" s="18" t="s">
        <v>434</v>
      </c>
      <c r="C14" s="18" t="s">
        <v>435</v>
      </c>
      <c r="D14" s="17" t="s">
        <v>26</v>
      </c>
    </row>
    <row r="15" customFormat="false" ht="15" hidden="false" customHeight="false" outlineLevel="0" collapsed="false">
      <c r="A15" s="14" t="s">
        <v>436</v>
      </c>
      <c r="B15" s="14" t="s">
        <v>437</v>
      </c>
      <c r="C15" s="14" t="s">
        <v>438</v>
      </c>
      <c r="D15" s="17" t="s">
        <v>26</v>
      </c>
    </row>
    <row r="16" customFormat="false" ht="15" hidden="false" customHeight="false" outlineLevel="0" collapsed="false">
      <c r="A16" s="18" t="s">
        <v>439</v>
      </c>
      <c r="B16" s="18" t="s">
        <v>440</v>
      </c>
      <c r="C16" s="18" t="s">
        <v>438</v>
      </c>
      <c r="D16" s="17" t="s">
        <v>26</v>
      </c>
    </row>
    <row r="17" customFormat="false" ht="15" hidden="false" customHeight="false" outlineLevel="0" collapsed="false">
      <c r="A17" s="14" t="s">
        <v>441</v>
      </c>
      <c r="B17" s="14" t="s">
        <v>442</v>
      </c>
      <c r="C17" s="14" t="s">
        <v>438</v>
      </c>
      <c r="D17" s="17" t="s">
        <v>26</v>
      </c>
    </row>
    <row r="18" customFormat="false" ht="15" hidden="false" customHeight="false" outlineLevel="0" collapsed="false">
      <c r="A18" s="18" t="s">
        <v>443</v>
      </c>
      <c r="B18" s="18" t="s">
        <v>444</v>
      </c>
      <c r="C18" s="18" t="s">
        <v>438</v>
      </c>
      <c r="D18" s="17" t="s">
        <v>247</v>
      </c>
    </row>
    <row r="19" customFormat="false" ht="15" hidden="false" customHeight="false" outlineLevel="0" collapsed="false">
      <c r="A19" s="14" t="s">
        <v>445</v>
      </c>
      <c r="B19" s="14" t="s">
        <v>446</v>
      </c>
      <c r="C19" s="14" t="s">
        <v>438</v>
      </c>
      <c r="D19" s="21" t="s">
        <v>30</v>
      </c>
    </row>
  </sheetData>
  <autoFilter ref="A4:D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2026-09-28T00:21:24Z</dcterms:created>
  <dc:creator>openpyxl</dc:creator>
  <dc:description/>
  <dc:language>en-US</dc:language>
  <cp:lastModifiedBy/>
  <dcterms:modified xsi:type="dcterms:W3CDTF">2026-09-28T00:21:24Z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