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<sst xmlns="http://schemas.openxmlformats.org/spreadsheetml/2006/main" count="665" uniqueCount="353">
  <si>
    <t xml:space="preserve">Cisco × NVIDIA HGX B300 — System Reference</t>
  </si>
  <si>
    <t xml:space="preserve">OEM system options for the High-end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</si>
  <si>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</si>
  <si>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</si>
  <si>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</si>
  <si>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</si>
  <si>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</si>
  <si>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B300</t>
  </si>
  <si>
    <t xml:space="preserve">[I]</t>
  </si>
  <si>
    <t xml:space="preserve">Tier</t>
  </si>
  <si>
    <t xml:space="preserve">High-end</t>
  </si>
  <si>
    <t xml:space="preserve">[D]</t>
  </si>
  <si>
    <t xml:space="preserve">System(s)</t>
  </si>
  <si>
    <t xml:space="preserve">C880A M8</t>
  </si>
  <si>
    <t xml:space="preserve">Host socket / series</t>
  </si>
  <si>
    <t xml:space="preserve">C880A M8: LGA-4710 (Xeon 6700P (Granite Rapids))</t>
  </si>
  <si>
    <t xml:space="preserve">GPU silicon reference</t>
  </si>
  <si>
    <t xml:space="preserve">NVIDIA_B300_Reference.xlsx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</si>
  <si>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</si>
  <si>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</si>
  <si>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</si>
  <si>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</si>
  <si>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</si>
  <si>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</si>
  <si>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Cisco's only Xeon-hosted HGX platform: 10RU, 8× B300 with per-GPU CX-8, sold as fixed bundles (B301-B304) with Intersight management. B303 pairs 2× 6776P — workbook row 82 'Best'.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</si>
  <si>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</si>
  <si>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</si>
  <si>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</si>
  <si>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</si>
  <si>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</si>
  <si>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B303 bundle · 12× 3200 W 54 V (6+6 assumed)</t>
  </si>
  <si>
    <t xml:space="preserve">B303 bundle · 12× 3200 W (10+2 assumed)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</si>
  <si>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</si>
  <si>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</si>
  <si>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</si>
  <si>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</si>
  <si>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</si>
  <si>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</si>
  <si>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</si>
  <si>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</si>
  <si>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</si>
  <si>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</si>
  <si>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</si>
  <si>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</si>
  <si>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</si>
  <si>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</si>
  <si>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</si>
  <si>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</si>
  <si>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</si>
  <si>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</si>
  <si>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</si>
  <si>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</si>
  <si>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</si>
  <si>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</si>
  <si>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</si>
  <si>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C880A M8  (Cisco)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</si>
  <si>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</si>
  <si>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</si>
  <si>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</si>
  <si>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</si>
  <si>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</si>
  <si>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</si>
  <si>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Cisco UCS C880A M8 Rack Server (UCSC-C880A-M8)</t>
  </si>
  <si>
    <t xml:space="preserve">C1</t>
  </si>
  <si>
    <t xml:space="preserve">Form factor</t>
  </si>
  <si>
    <t xml:space="preserve">10RU rack server, air-cooled (NetBox catalog lists 8U - conflict)</t>
  </si>
  <si>
    <t xml:space="preserve">C1, C3</t>
  </si>
  <si>
    <t xml:space="preserve">Bundles</t>
  </si>
  <si>
    <t xml:space="preserve">UCSC-880A-M8-B301 / -B302 / -B303 / -B304 with auto-included components</t>
  </si>
  <si>
    <t xml:space="preserve">Processor</t>
  </si>
  <si>
    <t xml:space="preserve">CPU</t>
  </si>
  <si>
    <t xml:space="preserve">Two 6th Gen Intel Xeon (Granite Rapids); B303 bundle: 2× Xeon 6776P</t>
  </si>
  <si>
    <t xml:space="preserve">C1, C2</t>
  </si>
  <si>
    <t xml:space="preserve">Memory</t>
  </si>
  <si>
    <t xml:space="preserve">Slots / max</t>
  </si>
  <si>
    <t xml:space="preserve">Up to 32 DDR5-6400 DIMMs; up to 4 TB (32× 128 GB)</t>
  </si>
  <si>
    <t xml:space="preserve">Complex</t>
  </si>
  <si>
    <t xml:space="preserve">8× NVIDIA HGX B300 NVL8 (air-cooled 8-GPU board UCSAI-NVHGX-B300A); 2.3 TB HBM total</t>
  </si>
  <si>
    <t xml:space="preserve">Network</t>
  </si>
  <si>
    <t xml:space="preserve">E-W</t>
  </si>
  <si>
    <t xml:space="preserve">8× integrated NVIDIA ConnectX-8 (one per GPU)</t>
  </si>
  <si>
    <t xml:space="preserve">N-S</t>
  </si>
  <si>
    <t xml:space="preserve">4× PCIe Gen5 x16 FHHL; B303 includes 2× ConnectX-7 2×200G (crypto)</t>
  </si>
  <si>
    <t xml:space="preserve">LAN</t>
  </si>
  <si>
    <t xml:space="preserve">1× OCP 3.0 TFF Gen5 x8 NIC (CPU1) with 2× 10GbE RJ-45 (Intel X710-T2L)</t>
  </si>
  <si>
    <t xml:space="preserve">Storage</t>
  </si>
  <si>
    <t xml:space="preserve">Data cache</t>
  </si>
  <si>
    <t xml:space="preserve">Up to 8× PCIe Gen5 x4 E1.S NVMe</t>
  </si>
  <si>
    <t xml:space="preserve">Boot</t>
  </si>
  <si>
    <t xml:space="preserve">Up to 2× 960 GB M.2 SATA with Cisco boot-optimised M.2 RAID controller</t>
  </si>
  <si>
    <t xml:space="preserve">Power</t>
  </si>
  <si>
    <t xml:space="preserve">PSUs</t>
  </si>
  <si>
    <t xml:space="preserve">12× 54 V 3200 W (UCSAI-PSU-3200W)</t>
  </si>
  <si>
    <t xml:space="preserve">Cooling</t>
  </si>
  <si>
    <t xml:space="preserve">Fans</t>
  </si>
  <si>
    <t xml:space="preserve">20× hot-swappable, N+1</t>
  </si>
  <si>
    <t xml:space="preserve">Management</t>
  </si>
  <si>
    <t xml:space="preserve">BMC</t>
  </si>
  <si>
    <t xml:space="preserve">Host BMC via DC-SCM with RJ45; IPMI 2.0, KVM, watchdog</t>
  </si>
  <si>
    <t xml:space="preserve">Physical</t>
  </si>
  <si>
    <t xml:space="preserve">Weight</t>
  </si>
  <si>
    <t xml:space="preserve">130 kg (catalog)</t>
  </si>
  <si>
    <t xml:space="preserve">C3</t>
  </si>
  <si>
    <t xml:space="preserve">Software</t>
  </si>
  <si>
    <t xml:space="preserve">Options</t>
  </si>
  <si>
    <t xml:space="preserve">NVIDIA AI Enterprise software and Cisco optics PIDs orderable</t>
  </si>
  <si>
    <t xml:space="preserve">This workbook</t>
  </si>
  <si>
    <t xml:space="preserve">GPU population</t>
  </si>
  <si>
    <t xml:space="preserve">NVIDIA HGX B300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</si>
  <si>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</si>
  <si>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</si>
  <si>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</si>
  <si>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</si>
  <si>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</si>
  <si>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</si>
  <si>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</si>
  <si>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</si>
  <si>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Base</t>
  </si>
  <si>
    <t xml:space="preserve">C880A M8 8×B300, 2× 6776P, 8× CX-8, 2× CX-7, 4 TB</t>
  </si>
  <si>
    <t xml:space="preserve">UCSC-880A-M8-B303</t>
  </si>
  <si>
    <t xml:space="preserve">Bundle</t>
  </si>
  <si>
    <t xml:space="preserve">UCS C880A M8 GPU SLED B300</t>
  </si>
  <si>
    <t xml:space="preserve">UCSAI-880A-B3-SLD</t>
  </si>
  <si>
    <t xml:space="preserve">NVIDIA HGX B300 Air-cooled 8-GPU Board</t>
  </si>
  <si>
    <t xml:space="preserve">UCSAI-NVHGX-B300A</t>
  </si>
  <si>
    <t xml:space="preserve">UCS C880A M8 CPU SLED</t>
  </si>
  <si>
    <t xml:space="preserve">UCSAI-880A-CC-SLD</t>
  </si>
  <si>
    <t xml:space="preserve">Intel GNR 6776P</t>
  </si>
  <si>
    <t xml:space="preserve">UCSAI-CPU-I6776P</t>
  </si>
  <si>
    <t xml:space="preserve">64C 350 W</t>
  </si>
  <si>
    <t xml:space="preserve">Workbook row 82</t>
  </si>
  <si>
    <t xml:space="preserve">Intel GNR heatsink</t>
  </si>
  <si>
    <t xml:space="preserve">UCSAI-880A-HS</t>
  </si>
  <si>
    <t xml:space="preserve">128GB DDR5-6400 RDIMM 2Rx4 (32Gb)</t>
  </si>
  <si>
    <t xml:space="preserve">UCSAI-MR128G2RG5</t>
  </si>
  <si>
    <t xml:space="preserve">NVIDIA ConnectX-7 2×200G (crypto)</t>
  </si>
  <si>
    <t xml:space="preserve">UCSAI-P-N7CS200GF</t>
  </si>
  <si>
    <t xml:space="preserve">OCP Intel X710-T2L</t>
  </si>
  <si>
    <t xml:space="preserve">UCSAI-O-ID10GC</t>
  </si>
  <si>
    <t xml:space="preserve">Dual CX-7 bracket</t>
  </si>
  <si>
    <t xml:space="preserve">UCSAI-2CX7200-BKT</t>
  </si>
  <si>
    <t xml:space="preserve">3.84TB E1.S Micron Gen5 NVMe</t>
  </si>
  <si>
    <t xml:space="preserve">UCSAI-NVES3T8M1V</t>
  </si>
  <si>
    <t xml:space="preserve">up to 8</t>
  </si>
  <si>
    <t xml:space="preserve">960GB M.2 SATA Micron</t>
  </si>
  <si>
    <t xml:space="preserve">UCSAI-M2-960G</t>
  </si>
  <si>
    <t xml:space="preserve">M.2 RAID controller + carrier</t>
  </si>
  <si>
    <t xml:space="preserve">UCSAI-M2-HWRAID / UCSAI-M2-CARRIER</t>
  </si>
  <si>
    <t xml:space="preserve">UCSAI M8 PSU 3200W 54V</t>
  </si>
  <si>
    <t xml:space="preserve">UCSAI-PSU-3200W</t>
  </si>
  <si>
    <t xml:space="preserve">C880A M8 DC-SCM</t>
  </si>
  <si>
    <t xml:space="preserve">UCSAI-880A-DCSCM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</si>
  <si>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</si>
  <si>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</si>
  <si>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</si>
  <si>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12× 54 V 3200 W PSUs; redundancy scheme not in retrieved excerpt</t>
  </si>
  <si>
    <t xml:space="preserve">20 fans N+1 hot-swap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</si>
  <si>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</si>
  <si>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</si>
  <si>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</si>
  <si>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</si>
  <si>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</si>
  <si>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</si>
  <si>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</si>
  <si>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</si>
  <si>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</si>
  <si>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</si>
  <si>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</si>
  <si>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</si>
  <si>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</si>
  <si>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</si>
  <si>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</si>
  <si>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</si>
  <si>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</si>
  <si>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</si>
  <si>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</si>
  <si>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</si>
  <si>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[I] / [U]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</si>
  <si>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</si>
  <si>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</si>
  <si>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</si>
  <si>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</si>
  <si>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</si>
  <si>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</si>
  <si>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</si>
  <si>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</si>
  <si>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</si>
  <si>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</si>
  <si>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</si>
  <si>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</si>
  <si>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</si>
  <si>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</si>
  <si>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</si>
  <si>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</si>
  <si>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</si>
  <si>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</si>
  <si>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</si>
  <si>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</si>
  <si>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</si>
  <si>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</si>
  <si>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</si>
  <si>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</si>
  <si>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</si>
  <si>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</si>
  <si>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</si>
  <si>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</si>
  <si>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</si>
  <si>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</si>
  <si>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</si>
  <si>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</si>
  <si>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</si>
  <si>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</si>
  <si>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</si>
  <si>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</si>
  <si>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</si>
  <si>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</si>
  <si>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</si>
  <si>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</si>
  <si>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</si>
  <si>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</si>
  <si>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</si>
  <si>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</si>
  <si>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</si>
  <si>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</si>
  <si>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</si>
  <si>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</si>
  <si>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</si>
  <si>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</si>
  <si>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</si>
  <si>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</si>
  <si>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</si>
  <si>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</si>
  <si>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</si>
  <si>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</si>
  <si>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</si>
  <si>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</si>
  <si>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</si>
  <si>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</si>
  <si>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</si>
  <si>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</si>
  <si>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</si>
  <si>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</si>
  <si>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</si>
  <si>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</si>
  <si>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</si>
  <si>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</si>
  <si>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</si>
  <si>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</si>
  <si>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</si>
  <si>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</si>
  <si>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</si>
  <si>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</si>
  <si>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</si>
  <si>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</si>
  <si>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</si>
  <si>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</si>
  <si>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</si>
  <si>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</si>
  <si>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</si>
  <si>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</si>
  <si>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</si>
  <si>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</si>
  <si>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</si>
  <si>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</si>
  <si>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C880A M8 — socket LGA-4710; series Xeon 6700P (Granite Rapids); OEM-qualified: 6776P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</si>
  <si>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</si>
  <si>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</si>
  <si>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</si>
  <si>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</si>
  <si>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</si>
  <si>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</si>
  <si>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</si>
  <si>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</si>
  <si>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</si>
  <si>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 but NOT on OEM qualified list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</si>
  <si>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</si>
  <si>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</si>
  <si>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</si>
  <si>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</si>
  <si>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</si>
  <si>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</si>
  <si>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</si>
  <si>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</si>
  <si>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</si>
  <si>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</si>
  <si>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</si>
  <si>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</si>
  <si>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</si>
  <si>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</si>
  <si>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</si>
  <si>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</si>
  <si>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Qualified by OEM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</si>
  <si>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</si>
  <si>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</si>
  <si>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</si>
  <si>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</si>
  <si>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</si>
  <si>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</si>
  <si>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</si>
  <si>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</si>
  <si>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</si>
  <si>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</si>
  <si>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</si>
  <si>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</si>
  <si>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</si>
  <si>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Height 10RU (Cisco) vs 8U (catalog)</t>
  </si>
  <si>
    <t xml:space="preserve">Rack density</t>
  </si>
  <si>
    <t xml:space="preserve">Cisco spec sheet dimensions table</t>
  </si>
  <si>
    <t xml:space="preserve">PSU redundancy and 'System Power Consumption' row (truncated in retrieved excerpt)</t>
  </si>
  <si>
    <t xml:space="preserve">Cisco publishes a system power figure - replace the estimate</t>
  </si>
  <si>
    <t xml:space="preserve">Cisco C880A M8 spec sheet Table 1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</si>
  <si>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</si>
  <si>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</si>
  <si>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</si>
  <si>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</si>
  <si>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</si>
  <si>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</si>
  <si>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</si>
  <si>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</si>
  <si>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</si>
  <si>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</si>
  <si>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</si>
  <si>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Cisco - UCS C880A M8 Rack Server Spec Sheet</t>
  </si>
  <si>
    <t xml:space="preserve">https://www.cisco.com/c/dam/en/us/products/collateral/servers-unified-computing/ucs-c-series-rack-servers/ucs-c880a-m8-rack-server-spec-sheet.pdf</t>
  </si>
  <si>
    <t xml:space="preserve">C2</t>
  </si>
  <si>
    <t xml:space="preserve">Cisco - UCS C880A M8 Data Sheet</t>
  </si>
  <si>
    <t xml:space="preserve">https://www.cisco.com/c/en/us/products/collateral/servers-unified-computing/ucs-c-series-rack-servers/ucs-c880a-m8-rack-server-ds.html</t>
  </si>
  <si>
    <t xml:space="preserve">NetBox Labs NDX - UCSC-C880A-M8 catalog entry (8U, 130 kg)</t>
  </si>
  <si>
    <t xml:space="preserve">https://netboxlabs.com/ndx/cisco/cisco-ucsc-c880a-m8/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</si>
  <si>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</si>
  <si>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</si>
  <si>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</si>
  <si>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</si>
  <si>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</si>
  <si>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Cisco_B300.xlsx</t>
  </si>
  <si>
    <t xml:space="preserve">  oem: Cisco</t>
  </si>
  <si>
    <t xml:space="preserve">  gpu: B300</t>
  </si>
  <si>
    <t xml:space="preserve">  tier: "High-end"</t>
  </si>
  <si>
    <t xml:space="preserve">  chassis:</t>
  </si>
  <si>
    <t xml:space="preserve">    - model: "C880A M8"</t>
  </si>
  <si>
    <t xml:space="preserve">      rack_units: 10</t>
  </si>
  <si>
    <t xml:space="preserve">      cpu_socket: "LGA-4710"</t>
  </si>
  <si>
    <t xml:space="preserve">  power_scenarios:   # inputs only; outputs live in 4_Power_Budget</t>
  </si>
  <si>
    <t xml:space="preserve">    - name: "B303 bundle · 12× 3200 W 54 V (6+6 assumed)"</t>
  </si>
  <si>
    <t xml:space="preserve">      system: "C880A M8"</t>
  </si>
  <si>
    <t xml:space="preserve">      gpus: 8</t>
  </si>
  <si>
    <t xml:space="preserve">      gpu_w: 1100</t>
  </si>
  <si>
    <t xml:space="preserve">      cpu: {count: 2, tdp_w: 350}</t>
  </si>
  <si>
    <t xml:space="preserve">      psu: {rating_w: 3200, installed: 12, redundant: 6}</t>
  </si>
  <si>
    <t xml:space="preserve">      assumptions_u: {dimm_w: 10, drive_w: 20, nic_w: 25, baseboard_w: 1000, fan_pct: 0.1, psu_eff: 0.95}</t>
  </si>
  <si>
    <t xml:space="preserve">    - name: "B303 bundle · 12× 3200 W (10+2 assumed)"</t>
  </si>
  <si>
    <t xml:space="preserve">      psu: {rating_w: 3200, installed: 12, redundant: 2}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</si>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</sst>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12039.5</v>
      </c>
      <c r="C18" s="11" t="n">
        <f aca="false">4_Power_Budget!C42</f>
        <v>19200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12039.5</v>
      </c>
      <c r="C19" s="11" t="n">
        <f aca="false">4_Power_Budget!D42</f>
        <v>32000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66</v>
      </c>
    </row>
    <row r="8" customFormat="false" ht="15" hidden="false" customHeight="false" outlineLevel="0" collapsed="false">
      <c r="A8" s="4" t="s">
        <v>13</v>
      </c>
      <c r="B8" s="4" t="s">
        <v>60</v>
      </c>
      <c r="C8" s="4" t="s">
        <v>67</v>
      </c>
      <c r="D8" s="4" t="s">
        <v>68</v>
      </c>
      <c r="E8" s="5" t="s">
        <v>8</v>
      </c>
      <c r="F8" s="4" t="s">
        <v>63</v>
      </c>
    </row>
    <row r="9" customFormat="false" ht="15" hidden="false" customHeight="false" outlineLevel="0" collapsed="false">
      <c r="A9" s="4" t="s">
        <v>13</v>
      </c>
      <c r="B9" s="4" t="s">
        <v>69</v>
      </c>
      <c r="C9" s="4" t="s">
        <v>70</v>
      </c>
      <c r="D9" s="4" t="s">
        <v>71</v>
      </c>
      <c r="E9" s="5" t="s">
        <v>8</v>
      </c>
      <c r="F9" s="4" t="s">
        <v>72</v>
      </c>
    </row>
    <row r="10" customFormat="false" ht="15" hidden="false" customHeight="false" outlineLevel="0" collapsed="false">
      <c r="A10" s="4" t="s">
        <v>13</v>
      </c>
      <c r="B10" s="4" t="s">
        <v>73</v>
      </c>
      <c r="C10" s="4" t="s">
        <v>74</v>
      </c>
      <c r="D10" s="4" t="s">
        <v>75</v>
      </c>
      <c r="E10" s="5" t="s">
        <v>8</v>
      </c>
      <c r="F10" s="4" t="s">
        <v>63</v>
      </c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76</v>
      </c>
      <c r="D11" s="4" t="s">
        <v>77</v>
      </c>
      <c r="E11" s="5" t="s">
        <v>8</v>
      </c>
      <c r="F11" s="4" t="s">
        <v>63</v>
      </c>
    </row>
    <row r="12" customFormat="false" ht="15" hidden="false" customHeight="false" outlineLevel="0" collapsed="false">
      <c r="A12" s="4" t="s">
        <v>13</v>
      </c>
      <c r="B12" s="4" t="s">
        <v>78</v>
      </c>
      <c r="C12" s="4" t="s">
        <v>79</v>
      </c>
      <c r="D12" s="4" t="s">
        <v>80</v>
      </c>
      <c r="E12" s="5" t="s">
        <v>8</v>
      </c>
      <c r="F12" s="4" t="s">
        <v>63</v>
      </c>
    </row>
    <row r="13" customFormat="false" ht="15" hidden="false" customHeight="false" outlineLevel="0" collapsed="false">
      <c r="A13" s="4" t="s">
        <v>13</v>
      </c>
      <c r="B13" s="4" t="s">
        <v>78</v>
      </c>
      <c r="C13" s="4" t="s">
        <v>81</v>
      </c>
      <c r="D13" s="4" t="s">
        <v>82</v>
      </c>
      <c r="E13" s="5" t="s">
        <v>8</v>
      </c>
      <c r="F13" s="4" t="s">
        <v>63</v>
      </c>
    </row>
    <row r="14" customFormat="false" ht="15" hidden="false" customHeight="false" outlineLevel="0" collapsed="false">
      <c r="A14" s="4" t="s">
        <v>13</v>
      </c>
      <c r="B14" s="4" t="s">
        <v>78</v>
      </c>
      <c r="C14" s="4" t="s">
        <v>83</v>
      </c>
      <c r="D14" s="4" t="s">
        <v>84</v>
      </c>
      <c r="E14" s="5" t="s">
        <v>8</v>
      </c>
      <c r="F14" s="4" t="s">
        <v>63</v>
      </c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86</v>
      </c>
      <c r="D15" s="4" t="s">
        <v>87</v>
      </c>
      <c r="E15" s="5" t="s">
        <v>8</v>
      </c>
      <c r="F15" s="4" t="s">
        <v>63</v>
      </c>
    </row>
    <row r="16" customFormat="false" ht="15" hidden="false" customHeight="false" outlineLevel="0" collapsed="false">
      <c r="A16" s="4" t="s">
        <v>13</v>
      </c>
      <c r="B16" s="4" t="s">
        <v>85</v>
      </c>
      <c r="C16" s="4" t="s">
        <v>88</v>
      </c>
      <c r="D16" s="4" t="s">
        <v>89</v>
      </c>
      <c r="E16" s="5" t="s">
        <v>8</v>
      </c>
      <c r="F16" s="4" t="s">
        <v>63</v>
      </c>
    </row>
    <row r="17" customFormat="false" ht="15" hidden="false" customHeight="false" outlineLevel="0" collapsed="false">
      <c r="A17" s="4" t="s">
        <v>13</v>
      </c>
      <c r="B17" s="4" t="s">
        <v>90</v>
      </c>
      <c r="C17" s="4" t="s">
        <v>91</v>
      </c>
      <c r="D17" s="4" t="s">
        <v>92</v>
      </c>
      <c r="E17" s="5" t="s">
        <v>8</v>
      </c>
      <c r="F17" s="4" t="s">
        <v>63</v>
      </c>
    </row>
    <row r="18" customFormat="false" ht="15" hidden="false" customHeight="false" outlineLevel="0" collapsed="false">
      <c r="A18" s="4" t="s">
        <v>13</v>
      </c>
      <c r="B18" s="4" t="s">
        <v>93</v>
      </c>
      <c r="C18" s="4" t="s">
        <v>94</v>
      </c>
      <c r="D18" s="4" t="s">
        <v>95</v>
      </c>
      <c r="E18" s="5" t="s">
        <v>8</v>
      </c>
      <c r="F18" s="4" t="s">
        <v>63</v>
      </c>
    </row>
    <row r="19" customFormat="false" ht="15" hidden="false" customHeight="false" outlineLevel="0" collapsed="false">
      <c r="A19" s="4" t="s">
        <v>13</v>
      </c>
      <c r="B19" s="4" t="s">
        <v>96</v>
      </c>
      <c r="C19" s="4" t="s">
        <v>97</v>
      </c>
      <c r="D19" s="4" t="s">
        <v>98</v>
      </c>
      <c r="E19" s="5" t="s">
        <v>8</v>
      </c>
      <c r="F19" s="4" t="s">
        <v>63</v>
      </c>
    </row>
    <row r="20" customFormat="false" ht="15" hidden="false" customHeight="false" outlineLevel="0" collapsed="false">
      <c r="A20" s="4" t="s">
        <v>13</v>
      </c>
      <c r="B20" s="4" t="s">
        <v>99</v>
      </c>
      <c r="C20" s="4" t="s">
        <v>100</v>
      </c>
      <c r="D20" s="4" t="s">
        <v>101</v>
      </c>
      <c r="E20" s="12" t="s">
        <v>42</v>
      </c>
      <c r="F20" s="4" t="s">
        <v>102</v>
      </c>
    </row>
    <row r="21" customFormat="false" ht="15" hidden="false" customHeight="false" outlineLevel="0" collapsed="false">
      <c r="A21" s="4" t="s">
        <v>13</v>
      </c>
      <c r="B21" s="4" t="s">
        <v>103</v>
      </c>
      <c r="C21" s="4" t="s">
        <v>104</v>
      </c>
      <c r="D21" s="4" t="s">
        <v>105</v>
      </c>
      <c r="E21" s="5" t="s">
        <v>8</v>
      </c>
      <c r="F21" s="4" t="s">
        <v>63</v>
      </c>
    </row>
    <row r="22" customFormat="false" ht="15" hidden="false" customHeight="false" outlineLevel="0" collapsed="false">
      <c r="A22" s="4" t="s">
        <v>13</v>
      </c>
      <c r="B22" s="4" t="s">
        <v>106</v>
      </c>
      <c r="C22" s="4" t="s">
        <v>107</v>
      </c>
      <c r="D22" s="4" t="s">
        <v>108</v>
      </c>
      <c r="E22" s="6" t="s">
        <v>11</v>
      </c>
      <c r="F2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56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4</v>
      </c>
      <c r="H4" s="3" t="s">
        <v>59</v>
      </c>
      <c r="I4" s="3" t="s">
        <v>116</v>
      </c>
    </row>
    <row r="5" customFormat="false" ht="15" hidden="false" customHeight="false" outlineLevel="0" collapsed="false">
      <c r="A5" s="4" t="s">
        <v>13</v>
      </c>
      <c r="B5" s="4" t="s">
        <v>117</v>
      </c>
      <c r="C5" s="4" t="s">
        <v>118</v>
      </c>
      <c r="D5" s="4" t="s">
        <v>119</v>
      </c>
      <c r="E5" s="4" t="n">
        <v>1</v>
      </c>
      <c r="F5" s="4" t="s">
        <v>120</v>
      </c>
      <c r="G5" s="5" t="s">
        <v>8</v>
      </c>
      <c r="H5" s="4" t="s">
        <v>63</v>
      </c>
      <c r="I5" s="4"/>
    </row>
    <row r="6" customFormat="false" ht="15" hidden="false" customHeight="false" outlineLevel="0" collapsed="false">
      <c r="A6" s="4" t="s">
        <v>13</v>
      </c>
      <c r="B6" s="4" t="s">
        <v>6</v>
      </c>
      <c r="C6" s="4" t="s">
        <v>121</v>
      </c>
      <c r="D6" s="4" t="s">
        <v>122</v>
      </c>
      <c r="E6" s="4" t="n">
        <v>1</v>
      </c>
      <c r="F6" s="4"/>
      <c r="G6" s="5" t="s">
        <v>8</v>
      </c>
      <c r="H6" s="4" t="s">
        <v>63</v>
      </c>
      <c r="I6" s="4"/>
    </row>
    <row r="7" customFormat="false" ht="15" hidden="false" customHeight="false" outlineLevel="0" collapsed="false">
      <c r="A7" s="4" t="s">
        <v>13</v>
      </c>
      <c r="B7" s="4" t="s">
        <v>6</v>
      </c>
      <c r="C7" s="4" t="s">
        <v>123</v>
      </c>
      <c r="D7" s="4" t="s">
        <v>124</v>
      </c>
      <c r="E7" s="4" t="n">
        <v>1</v>
      </c>
      <c r="F7" s="4"/>
      <c r="G7" s="5" t="s">
        <v>8</v>
      </c>
      <c r="H7" s="4" t="s">
        <v>63</v>
      </c>
      <c r="I7" s="4"/>
    </row>
    <row r="8" customFormat="false" ht="15" hidden="false" customHeight="false" outlineLevel="0" collapsed="false">
      <c r="A8" s="4" t="s">
        <v>13</v>
      </c>
      <c r="B8" s="4" t="s">
        <v>70</v>
      </c>
      <c r="C8" s="4" t="s">
        <v>125</v>
      </c>
      <c r="D8" s="4" t="s">
        <v>126</v>
      </c>
      <c r="E8" s="4" t="n">
        <v>1</v>
      </c>
      <c r="F8" s="4"/>
      <c r="G8" s="5" t="s">
        <v>8</v>
      </c>
      <c r="H8" s="4" t="s">
        <v>63</v>
      </c>
      <c r="I8" s="4"/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127</v>
      </c>
      <c r="D9" s="4" t="s">
        <v>128</v>
      </c>
      <c r="E9" s="4" t="n">
        <v>2</v>
      </c>
      <c r="F9" s="4" t="s">
        <v>129</v>
      </c>
      <c r="G9" s="5" t="s">
        <v>8</v>
      </c>
      <c r="H9" s="4" t="s">
        <v>63</v>
      </c>
      <c r="I9" s="4" t="s">
        <v>130</v>
      </c>
    </row>
    <row r="10" customFormat="false" ht="15" hidden="false" customHeight="false" outlineLevel="0" collapsed="false">
      <c r="A10" s="4" t="s">
        <v>13</v>
      </c>
      <c r="B10" s="4" t="s">
        <v>70</v>
      </c>
      <c r="C10" s="4" t="s">
        <v>131</v>
      </c>
      <c r="D10" s="4" t="s">
        <v>132</v>
      </c>
      <c r="E10" s="4" t="n">
        <v>2</v>
      </c>
      <c r="F10" s="4"/>
      <c r="G10" s="5" t="s">
        <v>8</v>
      </c>
      <c r="H10" s="4" t="s">
        <v>63</v>
      </c>
      <c r="I10" s="4"/>
    </row>
    <row r="11" customFormat="false" ht="15" hidden="false" customHeight="false" outlineLevel="0" collapsed="false">
      <c r="A11" s="4" t="s">
        <v>13</v>
      </c>
      <c r="B11" s="4" t="s">
        <v>73</v>
      </c>
      <c r="C11" s="4" t="s">
        <v>133</v>
      </c>
      <c r="D11" s="4" t="s">
        <v>134</v>
      </c>
      <c r="E11" s="4" t="n">
        <v>32</v>
      </c>
      <c r="F11" s="4"/>
      <c r="G11" s="5" t="s">
        <v>8</v>
      </c>
      <c r="H11" s="4" t="s">
        <v>63</v>
      </c>
      <c r="I11" s="4"/>
    </row>
    <row r="12" customFormat="false" ht="15" hidden="false" customHeight="false" outlineLevel="0" collapsed="false">
      <c r="A12" s="4" t="s">
        <v>13</v>
      </c>
      <c r="B12" s="4" t="s">
        <v>78</v>
      </c>
      <c r="C12" s="4" t="s">
        <v>135</v>
      </c>
      <c r="D12" s="4" t="s">
        <v>136</v>
      </c>
      <c r="E12" s="4" t="n">
        <v>2</v>
      </c>
      <c r="F12" s="4"/>
      <c r="G12" s="5" t="s">
        <v>8</v>
      </c>
      <c r="H12" s="4" t="s">
        <v>63</v>
      </c>
      <c r="I12" s="4"/>
    </row>
    <row r="13" customFormat="false" ht="15" hidden="false" customHeight="false" outlineLevel="0" collapsed="false">
      <c r="A13" s="4" t="s">
        <v>13</v>
      </c>
      <c r="B13" s="4" t="s">
        <v>78</v>
      </c>
      <c r="C13" s="4" t="s">
        <v>137</v>
      </c>
      <c r="D13" s="4" t="s">
        <v>138</v>
      </c>
      <c r="E13" s="4" t="n">
        <v>1</v>
      </c>
      <c r="F13" s="4"/>
      <c r="G13" s="5" t="s">
        <v>8</v>
      </c>
      <c r="H13" s="4" t="s">
        <v>63</v>
      </c>
      <c r="I13" s="4"/>
    </row>
    <row r="14" customFormat="false" ht="15" hidden="false" customHeight="false" outlineLevel="0" collapsed="false">
      <c r="A14" s="4" t="s">
        <v>13</v>
      </c>
      <c r="B14" s="4" t="s">
        <v>78</v>
      </c>
      <c r="C14" s="4" t="s">
        <v>139</v>
      </c>
      <c r="D14" s="4" t="s">
        <v>140</v>
      </c>
      <c r="E14" s="4" t="n">
        <v>1</v>
      </c>
      <c r="F14" s="4"/>
      <c r="G14" s="5" t="s">
        <v>8</v>
      </c>
      <c r="H14" s="4" t="s">
        <v>63</v>
      </c>
      <c r="I14" s="4"/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141</v>
      </c>
      <c r="D15" s="4" t="s">
        <v>142</v>
      </c>
      <c r="E15" s="4" t="n">
        <v>2</v>
      </c>
      <c r="F15" s="4" t="s">
        <v>143</v>
      </c>
      <c r="G15" s="5" t="s">
        <v>8</v>
      </c>
      <c r="H15" s="4" t="s">
        <v>63</v>
      </c>
      <c r="I15" s="4"/>
    </row>
    <row r="16" customFormat="false" ht="15" hidden="false" customHeight="false" outlineLevel="0" collapsed="false">
      <c r="A16" s="4" t="s">
        <v>13</v>
      </c>
      <c r="B16" s="4" t="s">
        <v>88</v>
      </c>
      <c r="C16" s="4" t="s">
        <v>144</v>
      </c>
      <c r="D16" s="4" t="s">
        <v>145</v>
      </c>
      <c r="E16" s="4" t="n">
        <v>2</v>
      </c>
      <c r="F16" s="4"/>
      <c r="G16" s="5" t="s">
        <v>8</v>
      </c>
      <c r="H16" s="4" t="s">
        <v>63</v>
      </c>
      <c r="I16" s="4"/>
    </row>
    <row r="17" customFormat="false" ht="23.85" hidden="false" customHeight="false" outlineLevel="0" collapsed="false">
      <c r="A17" s="4" t="s">
        <v>13</v>
      </c>
      <c r="B17" s="4" t="s">
        <v>88</v>
      </c>
      <c r="C17" s="4" t="s">
        <v>146</v>
      </c>
      <c r="D17" s="4" t="s">
        <v>147</v>
      </c>
      <c r="E17" s="4" t="n">
        <v>1</v>
      </c>
      <c r="F17" s="4"/>
      <c r="G17" s="5" t="s">
        <v>8</v>
      </c>
      <c r="H17" s="4" t="s">
        <v>63</v>
      </c>
      <c r="I17" s="4"/>
    </row>
    <row r="18" customFormat="false" ht="15" hidden="false" customHeight="false" outlineLevel="0" collapsed="false">
      <c r="A18" s="4" t="s">
        <v>13</v>
      </c>
      <c r="B18" s="4" t="s">
        <v>90</v>
      </c>
      <c r="C18" s="4" t="s">
        <v>148</v>
      </c>
      <c r="D18" s="4" t="s">
        <v>149</v>
      </c>
      <c r="E18" s="4" t="n">
        <v>12</v>
      </c>
      <c r="F18" s="4"/>
      <c r="G18" s="5" t="s">
        <v>8</v>
      </c>
      <c r="H18" s="4" t="s">
        <v>63</v>
      </c>
      <c r="I18" s="4"/>
    </row>
    <row r="19" customFormat="false" ht="15" hidden="false" customHeight="false" outlineLevel="0" collapsed="false">
      <c r="A19" s="4" t="s">
        <v>13</v>
      </c>
      <c r="B19" s="4" t="s">
        <v>96</v>
      </c>
      <c r="C19" s="4" t="s">
        <v>150</v>
      </c>
      <c r="D19" s="4" t="s">
        <v>151</v>
      </c>
      <c r="E19" s="4" t="n">
        <v>1</v>
      </c>
      <c r="F19" s="4"/>
      <c r="G19" s="5" t="s">
        <v>8</v>
      </c>
      <c r="H19" s="4" t="s">
        <v>63</v>
      </c>
      <c r="I19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3" t="s">
        <v>56</v>
      </c>
      <c r="B4" s="3" t="s">
        <v>154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155</v>
      </c>
      <c r="C5" s="5" t="s">
        <v>8</v>
      </c>
      <c r="D5" s="4" t="s">
        <v>63</v>
      </c>
    </row>
    <row r="6" customFormat="false" ht="15" hidden="false" customHeight="false" outlineLevel="0" collapsed="false">
      <c r="A6" s="4" t="s">
        <v>13</v>
      </c>
      <c r="B6" s="4" t="s">
        <v>156</v>
      </c>
      <c r="C6" s="5" t="s">
        <v>8</v>
      </c>
      <c r="D6" s="4" t="s">
        <v>63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23.85" hidden="false" customHeight="false" outlineLevel="0" collapsed="false">
      <c r="A4" s="3" t="s">
        <v>159</v>
      </c>
      <c r="B4" s="3" t="s">
        <v>160</v>
      </c>
      <c r="C4" s="3" t="s">
        <v>30</v>
      </c>
      <c r="D4" s="3" t="s">
        <v>31</v>
      </c>
      <c r="E4" s="3" t="s">
        <v>4</v>
      </c>
      <c r="F4" s="3" t="s">
        <v>161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162</v>
      </c>
      <c r="B6" s="4" t="s">
        <v>163</v>
      </c>
      <c r="C6" s="16" t="n">
        <v>8</v>
      </c>
      <c r="D6" s="16" t="n">
        <v>8</v>
      </c>
      <c r="E6" s="5" t="s">
        <v>8</v>
      </c>
      <c r="F6" s="4" t="s">
        <v>164</v>
      </c>
    </row>
    <row r="7" customFormat="false" ht="15" hidden="false" customHeight="false" outlineLevel="0" collapsed="false">
      <c r="A7" s="4" t="s">
        <v>165</v>
      </c>
      <c r="B7" s="4" t="s">
        <v>166</v>
      </c>
      <c r="C7" s="16" t="n">
        <v>1100</v>
      </c>
      <c r="D7" s="16" t="n">
        <v>1100</v>
      </c>
      <c r="E7" s="5" t="s">
        <v>8</v>
      </c>
      <c r="F7" s="4" t="s">
        <v>167</v>
      </c>
    </row>
    <row r="8" customFormat="false" ht="15" hidden="false" customHeight="false" outlineLevel="0" collapsed="false">
      <c r="A8" s="4" t="s">
        <v>168</v>
      </c>
      <c r="B8" s="4" t="s">
        <v>163</v>
      </c>
      <c r="C8" s="16" t="n">
        <v>2</v>
      </c>
      <c r="D8" s="16" t="n">
        <v>2</v>
      </c>
      <c r="E8" s="5" t="s">
        <v>8</v>
      </c>
      <c r="F8" s="4" t="s">
        <v>169</v>
      </c>
    </row>
    <row r="9" customFormat="false" ht="15" hidden="false" customHeight="false" outlineLevel="0" collapsed="false">
      <c r="A9" s="4" t="s">
        <v>170</v>
      </c>
      <c r="B9" s="4" t="s">
        <v>166</v>
      </c>
      <c r="C9" s="16" t="n">
        <v>350</v>
      </c>
      <c r="D9" s="16" t="n">
        <v>350</v>
      </c>
      <c r="E9" s="5" t="s">
        <v>8</v>
      </c>
      <c r="F9" s="4" t="s">
        <v>171</v>
      </c>
    </row>
    <row r="10" customFormat="false" ht="15" hidden="false" customHeight="false" outlineLevel="0" collapsed="false">
      <c r="A10" s="4" t="s">
        <v>172</v>
      </c>
      <c r="B10" s="4" t="s">
        <v>163</v>
      </c>
      <c r="C10" s="16" t="n">
        <v>32</v>
      </c>
      <c r="D10" s="16" t="n">
        <v>32</v>
      </c>
      <c r="E10" s="5" t="s">
        <v>8</v>
      </c>
      <c r="F10" s="4" t="s">
        <v>173</v>
      </c>
    </row>
    <row r="11" customFormat="false" ht="15" hidden="false" customHeight="false" outlineLevel="0" collapsed="false">
      <c r="A11" s="4" t="s">
        <v>174</v>
      </c>
      <c r="B11" s="4" t="s">
        <v>166</v>
      </c>
      <c r="C11" s="16" t="n">
        <v>10</v>
      </c>
      <c r="D11" s="16" t="n">
        <v>10</v>
      </c>
      <c r="E11" s="13" t="s">
        <v>46</v>
      </c>
      <c r="F11" s="4" t="s">
        <v>175</v>
      </c>
    </row>
    <row r="12" customFormat="false" ht="15" hidden="false" customHeight="false" outlineLevel="0" collapsed="false">
      <c r="A12" s="4" t="s">
        <v>176</v>
      </c>
      <c r="B12" s="4" t="s">
        <v>163</v>
      </c>
      <c r="C12" s="16" t="n">
        <v>2</v>
      </c>
      <c r="D12" s="16" t="n">
        <v>2</v>
      </c>
      <c r="E12" s="5" t="s">
        <v>177</v>
      </c>
      <c r="F12" s="4" t="s">
        <v>178</v>
      </c>
    </row>
    <row r="13" customFormat="false" ht="15" hidden="false" customHeight="false" outlineLevel="0" collapsed="false">
      <c r="A13" s="4" t="s">
        <v>179</v>
      </c>
      <c r="B13" s="4" t="s">
        <v>166</v>
      </c>
      <c r="C13" s="16" t="n">
        <v>20</v>
      </c>
      <c r="D13" s="16" t="n">
        <v>20</v>
      </c>
      <c r="E13" s="13" t="s">
        <v>46</v>
      </c>
      <c r="F13" s="4" t="s">
        <v>180</v>
      </c>
    </row>
    <row r="14" customFormat="false" ht="15" hidden="false" customHeight="false" outlineLevel="0" collapsed="false">
      <c r="A14" s="4" t="s">
        <v>181</v>
      </c>
      <c r="B14" s="4" t="s">
        <v>163</v>
      </c>
      <c r="C14" s="16" t="n">
        <v>2</v>
      </c>
      <c r="D14" s="16" t="n">
        <v>2</v>
      </c>
      <c r="E14" s="5" t="s">
        <v>8</v>
      </c>
      <c r="F14" s="4" t="s">
        <v>169</v>
      </c>
    </row>
    <row r="15" customFormat="false" ht="15" hidden="false" customHeight="false" outlineLevel="0" collapsed="false">
      <c r="A15" s="4" t="s">
        <v>182</v>
      </c>
      <c r="B15" s="4" t="s">
        <v>166</v>
      </c>
      <c r="C15" s="16" t="n">
        <v>5</v>
      </c>
      <c r="D15" s="16" t="n">
        <v>5</v>
      </c>
      <c r="E15" s="13" t="s">
        <v>46</v>
      </c>
      <c r="F15" s="4" t="s">
        <v>183</v>
      </c>
    </row>
    <row r="16" customFormat="false" ht="15" hidden="false" customHeight="false" outlineLevel="0" collapsed="false">
      <c r="A16" s="4" t="s">
        <v>184</v>
      </c>
      <c r="B16" s="4" t="s">
        <v>163</v>
      </c>
      <c r="C16" s="16" t="n">
        <v>3</v>
      </c>
      <c r="D16" s="16" t="n">
        <v>3</v>
      </c>
      <c r="E16" s="5" t="s">
        <v>177</v>
      </c>
      <c r="F16" s="4" t="s">
        <v>185</v>
      </c>
    </row>
    <row r="17" customFormat="false" ht="15" hidden="false" customHeight="false" outlineLevel="0" collapsed="false">
      <c r="A17" s="4" t="s">
        <v>186</v>
      </c>
      <c r="B17" s="4" t="s">
        <v>166</v>
      </c>
      <c r="C17" s="16" t="n">
        <v>25</v>
      </c>
      <c r="D17" s="16" t="n">
        <v>25</v>
      </c>
      <c r="E17" s="13" t="s">
        <v>46</v>
      </c>
      <c r="F17" s="4" t="s">
        <v>187</v>
      </c>
    </row>
    <row r="18" customFormat="false" ht="15" hidden="false" customHeight="false" outlineLevel="0" collapsed="false">
      <c r="A18" s="4" t="s">
        <v>188</v>
      </c>
      <c r="B18" s="4" t="s">
        <v>166</v>
      </c>
      <c r="C18" s="16" t="n">
        <v>1000</v>
      </c>
      <c r="D18" s="16" t="n">
        <v>1000</v>
      </c>
      <c r="E18" s="13" t="s">
        <v>46</v>
      </c>
      <c r="F18" s="4" t="s">
        <v>189</v>
      </c>
    </row>
    <row r="19" customFormat="false" ht="23.85" hidden="false" customHeight="false" outlineLevel="0" collapsed="false">
      <c r="A19" s="4" t="s">
        <v>190</v>
      </c>
      <c r="B19" s="4" t="s">
        <v>191</v>
      </c>
      <c r="C19" s="17" t="n">
        <v>0.1</v>
      </c>
      <c r="D19" s="17" t="n">
        <v>0.1</v>
      </c>
      <c r="E19" s="13" t="s">
        <v>46</v>
      </c>
      <c r="F19" s="4" t="s">
        <v>183</v>
      </c>
    </row>
    <row r="20" customFormat="false" ht="15" hidden="false" customHeight="false" outlineLevel="0" collapsed="false">
      <c r="A20" s="4" t="s">
        <v>192</v>
      </c>
      <c r="B20" s="4" t="s">
        <v>193</v>
      </c>
      <c r="C20" s="18" t="n">
        <v>0.95</v>
      </c>
      <c r="D20" s="18" t="n">
        <v>0.95</v>
      </c>
      <c r="E20" s="13" t="s">
        <v>46</v>
      </c>
      <c r="F20" s="4" t="s">
        <v>194</v>
      </c>
    </row>
    <row r="21" customFormat="false" ht="15" hidden="false" customHeight="false" outlineLevel="0" collapsed="false">
      <c r="A21" s="4" t="s">
        <v>195</v>
      </c>
      <c r="B21" s="4" t="s">
        <v>166</v>
      </c>
      <c r="C21" s="16" t="n">
        <v>3200</v>
      </c>
      <c r="D21" s="16" t="n">
        <v>3200</v>
      </c>
      <c r="E21" s="5" t="s">
        <v>8</v>
      </c>
      <c r="F21" s="4" t="s">
        <v>169</v>
      </c>
    </row>
    <row r="22" customFormat="false" ht="15" hidden="false" customHeight="false" outlineLevel="0" collapsed="false">
      <c r="A22" s="4" t="s">
        <v>196</v>
      </c>
      <c r="B22" s="4" t="s">
        <v>163</v>
      </c>
      <c r="C22" s="16" t="n">
        <v>12</v>
      </c>
      <c r="D22" s="16" t="n">
        <v>12</v>
      </c>
      <c r="E22" s="5" t="s">
        <v>8</v>
      </c>
      <c r="F22" s="4" t="s">
        <v>197</v>
      </c>
    </row>
    <row r="23" customFormat="false" ht="15" hidden="false" customHeight="false" outlineLevel="0" collapsed="false">
      <c r="A23" s="4" t="s">
        <v>198</v>
      </c>
      <c r="B23" s="4" t="s">
        <v>163</v>
      </c>
      <c r="C23" s="16" t="n">
        <v>6</v>
      </c>
      <c r="D23" s="16" t="n">
        <v>2</v>
      </c>
      <c r="E23" s="13" t="s">
        <v>46</v>
      </c>
      <c r="F23" s="4" t="s">
        <v>199</v>
      </c>
    </row>
    <row r="24" customFormat="false" ht="15" hidden="false" customHeight="false" outlineLevel="0" collapsed="false">
      <c r="A24" s="4" t="s">
        <v>200</v>
      </c>
      <c r="B24" s="4" t="s">
        <v>163</v>
      </c>
      <c r="C24" s="16" t="n">
        <v>0</v>
      </c>
      <c r="D24" s="16" t="n">
        <v>0</v>
      </c>
      <c r="E24" s="5" t="s">
        <v>8</v>
      </c>
      <c r="F24" s="4" t="s">
        <v>201</v>
      </c>
    </row>
    <row r="25" customFormat="false" ht="15" hidden="false" customHeight="false" outlineLevel="0" collapsed="false">
      <c r="A25" s="4" t="s">
        <v>202</v>
      </c>
      <c r="B25" s="4" t="s">
        <v>203</v>
      </c>
      <c r="C25" s="16" t="n">
        <v>30</v>
      </c>
      <c r="D25" s="16" t="n">
        <v>30</v>
      </c>
      <c r="E25" s="13" t="s">
        <v>46</v>
      </c>
      <c r="F25" s="4" t="s">
        <v>204</v>
      </c>
    </row>
    <row r="26" customFormat="false" ht="15" hidden="false" customHeight="false" outlineLevel="0" collapsed="false">
      <c r="A26" s="4" t="s">
        <v>205</v>
      </c>
      <c r="B26" s="4" t="s">
        <v>206</v>
      </c>
      <c r="C26" s="16" t="n">
        <v>10</v>
      </c>
      <c r="D26" s="16" t="n">
        <v>10</v>
      </c>
      <c r="E26" s="5" t="s">
        <v>8</v>
      </c>
      <c r="F26" s="4" t="s">
        <v>169</v>
      </c>
    </row>
    <row r="27" customFormat="false" ht="15" hidden="false" customHeight="false" outlineLevel="0" collapsed="false">
      <c r="A27" s="4" t="s">
        <v>207</v>
      </c>
      <c r="B27" s="4" t="s">
        <v>206</v>
      </c>
      <c r="C27" s="16" t="n">
        <v>38</v>
      </c>
      <c r="D27" s="16" t="n">
        <v>38</v>
      </c>
      <c r="E27" s="13" t="s">
        <v>46</v>
      </c>
      <c r="F27" s="4" t="s">
        <v>208</v>
      </c>
    </row>
    <row r="29" customFormat="false" ht="15" hidden="false" customHeight="false" outlineLevel="0" collapsed="false">
      <c r="A29" s="9" t="s">
        <v>209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210</v>
      </c>
      <c r="B30" s="3" t="s">
        <v>160</v>
      </c>
      <c r="C30" s="3" t="s">
        <v>30</v>
      </c>
      <c r="D30" s="3" t="s">
        <v>31</v>
      </c>
      <c r="E30" s="3" t="s">
        <v>4</v>
      </c>
      <c r="F30" s="3" t="s">
        <v>211</v>
      </c>
    </row>
    <row r="31" customFormat="false" ht="15" hidden="false" customHeight="false" outlineLevel="0" collapsed="false">
      <c r="A31" s="4" t="s">
        <v>212</v>
      </c>
      <c r="B31" s="4" t="s">
        <v>166</v>
      </c>
      <c r="C31" s="11" t="n">
        <f aca="false">C6*C7</f>
        <v>8800</v>
      </c>
      <c r="D31" s="11" t="n">
        <f aca="false">D6*D7</f>
        <v>8800</v>
      </c>
      <c r="E31" s="6" t="s">
        <v>11</v>
      </c>
      <c r="F31" s="4" t="s">
        <v>213</v>
      </c>
    </row>
    <row r="32" customFormat="false" ht="15" hidden="false" customHeight="false" outlineLevel="0" collapsed="false">
      <c r="A32" s="4" t="s">
        <v>214</v>
      </c>
      <c r="B32" s="4" t="s">
        <v>166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215</v>
      </c>
    </row>
    <row r="33" customFormat="false" ht="15" hidden="false" customHeight="false" outlineLevel="0" collapsed="false">
      <c r="A33" s="4" t="s">
        <v>216</v>
      </c>
      <c r="B33" s="4" t="s">
        <v>166</v>
      </c>
      <c r="C33" s="11" t="n">
        <f aca="false">C10*C11</f>
        <v>320</v>
      </c>
      <c r="D33" s="11" t="n">
        <f aca="false">D10*D11</f>
        <v>320</v>
      </c>
      <c r="E33" s="6" t="s">
        <v>11</v>
      </c>
      <c r="F33" s="4" t="s">
        <v>217</v>
      </c>
    </row>
    <row r="34" customFormat="false" ht="15" hidden="false" customHeight="false" outlineLevel="0" collapsed="false">
      <c r="A34" s="4" t="s">
        <v>218</v>
      </c>
      <c r="B34" s="4" t="s">
        <v>166</v>
      </c>
      <c r="C34" s="11" t="n">
        <f aca="false">C12*C13+C14*C15</f>
        <v>50</v>
      </c>
      <c r="D34" s="11" t="n">
        <f aca="false">D12*D13+D14*D15</f>
        <v>50</v>
      </c>
      <c r="E34" s="6" t="s">
        <v>11</v>
      </c>
      <c r="F34" s="4" t="s">
        <v>219</v>
      </c>
    </row>
    <row r="35" customFormat="false" ht="15" hidden="false" customHeight="false" outlineLevel="0" collapsed="false">
      <c r="A35" s="4" t="s">
        <v>220</v>
      </c>
      <c r="B35" s="4" t="s">
        <v>166</v>
      </c>
      <c r="C35" s="11" t="n">
        <f aca="false">C16*C17</f>
        <v>75</v>
      </c>
      <c r="D35" s="11" t="n">
        <f aca="false">D16*D17</f>
        <v>75</v>
      </c>
      <c r="E35" s="6" t="s">
        <v>11</v>
      </c>
      <c r="F35" s="4" t="s">
        <v>221</v>
      </c>
    </row>
    <row r="36" customFormat="false" ht="15" hidden="false" customHeight="false" outlineLevel="0" collapsed="false">
      <c r="A36" s="4" t="s">
        <v>222</v>
      </c>
      <c r="B36" s="4" t="s">
        <v>166</v>
      </c>
      <c r="C36" s="11" t="n">
        <f aca="false">C18</f>
        <v>1000</v>
      </c>
      <c r="D36" s="11" t="n">
        <f aca="false">D18</f>
        <v>1000</v>
      </c>
      <c r="E36" s="6" t="s">
        <v>11</v>
      </c>
      <c r="F36" s="4" t="s">
        <v>223</v>
      </c>
    </row>
    <row r="37" customFormat="false" ht="15" hidden="false" customHeight="false" outlineLevel="0" collapsed="false">
      <c r="A37" s="4" t="s">
        <v>224</v>
      </c>
      <c r="B37" s="4" t="s">
        <v>166</v>
      </c>
      <c r="C37" s="11" t="n">
        <f aca="false">SUM(C31:C36)</f>
        <v>10945</v>
      </c>
      <c r="D37" s="11" t="n">
        <f aca="false">SUM(D31:D36)</f>
        <v>10945</v>
      </c>
      <c r="E37" s="6" t="s">
        <v>11</v>
      </c>
      <c r="F37" s="4" t="s">
        <v>225</v>
      </c>
    </row>
    <row r="38" customFormat="false" ht="15" hidden="false" customHeight="false" outlineLevel="0" collapsed="false">
      <c r="A38" s="4" t="s">
        <v>226</v>
      </c>
      <c r="B38" s="4" t="s">
        <v>166</v>
      </c>
      <c r="C38" s="11" t="n">
        <f aca="false">C37*C19</f>
        <v>1094.5</v>
      </c>
      <c r="D38" s="11" t="n">
        <f aca="false">D37*D19</f>
        <v>1094.5</v>
      </c>
      <c r="E38" s="6" t="s">
        <v>11</v>
      </c>
      <c r="F38" s="4" t="s">
        <v>227</v>
      </c>
    </row>
    <row r="39" customFormat="false" ht="15" hidden="false" customHeight="false" outlineLevel="0" collapsed="false">
      <c r="A39" s="4" t="s">
        <v>228</v>
      </c>
      <c r="B39" s="4" t="s">
        <v>166</v>
      </c>
      <c r="C39" s="11" t="n">
        <f aca="false">C37+C38</f>
        <v>12039.5</v>
      </c>
      <c r="D39" s="11" t="n">
        <f aca="false">D37+D38</f>
        <v>12039.5</v>
      </c>
      <c r="E39" s="6" t="s">
        <v>11</v>
      </c>
      <c r="F39" s="4" t="s">
        <v>229</v>
      </c>
    </row>
    <row r="40" customFormat="false" ht="15" hidden="false" customHeight="false" outlineLevel="0" collapsed="false">
      <c r="A40" s="4" t="s">
        <v>230</v>
      </c>
      <c r="B40" s="4" t="s">
        <v>231</v>
      </c>
      <c r="C40" s="19" t="n">
        <f aca="false">C31/C39</f>
        <v>0.730927364093193</v>
      </c>
      <c r="D40" s="19" t="n">
        <f aca="false">D31/D39</f>
        <v>0.730927364093193</v>
      </c>
      <c r="E40" s="6" t="s">
        <v>11</v>
      </c>
      <c r="F40" s="4" t="s">
        <v>232</v>
      </c>
    </row>
    <row r="41" customFormat="false" ht="15" hidden="false" customHeight="false" outlineLevel="0" collapsed="false">
      <c r="A41" s="4" t="s">
        <v>233</v>
      </c>
      <c r="B41" s="4" t="s">
        <v>166</v>
      </c>
      <c r="C41" s="11" t="n">
        <f aca="false">C39/C20</f>
        <v>12673.1578947368</v>
      </c>
      <c r="D41" s="11" t="n">
        <f aca="false">D39/D20</f>
        <v>12673.1578947368</v>
      </c>
      <c r="E41" s="6" t="s">
        <v>11</v>
      </c>
      <c r="F41" s="4" t="s">
        <v>234</v>
      </c>
    </row>
    <row r="42" customFormat="false" ht="15" hidden="false" customHeight="false" outlineLevel="0" collapsed="false">
      <c r="A42" s="4" t="s">
        <v>235</v>
      </c>
      <c r="B42" s="4" t="s">
        <v>166</v>
      </c>
      <c r="C42" s="11" t="n">
        <f aca="false">IF(C21=0,"n/a",(C22-C23)*C21)</f>
        <v>19200</v>
      </c>
      <c r="D42" s="11" t="n">
        <f aca="false">IF(D21=0,"n/a",(D22-D23)*D21)</f>
        <v>32000</v>
      </c>
      <c r="E42" s="6" t="s">
        <v>11</v>
      </c>
      <c r="F42" s="4" t="s">
        <v>236</v>
      </c>
    </row>
    <row r="43" customFormat="false" ht="15" hidden="false" customHeight="false" outlineLevel="0" collapsed="false">
      <c r="A43" s="4" t="s">
        <v>237</v>
      </c>
      <c r="B43" s="4" t="s">
        <v>166</v>
      </c>
      <c r="C43" s="11" t="n">
        <f aca="false">IF(ISNUMBER(C42),C42-C39,"n/a")</f>
        <v>7160.5</v>
      </c>
      <c r="D43" s="11" t="n">
        <f aca="false">IF(ISNUMBER(D42),D42-D39,"n/a")</f>
        <v>19960.5</v>
      </c>
      <c r="E43" s="6" t="s">
        <v>11</v>
      </c>
      <c r="F43" s="4" t="s">
        <v>238</v>
      </c>
    </row>
    <row r="44" customFormat="false" ht="15" hidden="false" customHeight="false" outlineLevel="0" collapsed="false">
      <c r="A44" s="4" t="s">
        <v>239</v>
      </c>
      <c r="B44" s="4" t="s">
        <v>231</v>
      </c>
      <c r="C44" s="19" t="n">
        <f aca="false">IF(ISNUMBER(C42),C39/C42,"n/a")</f>
        <v>0.627057291666667</v>
      </c>
      <c r="D44" s="19" t="n">
        <f aca="false">IF(ISNUMBER(D42),D39/D42,"n/a")</f>
        <v>0.376234375</v>
      </c>
      <c r="E44" s="6" t="s">
        <v>11</v>
      </c>
      <c r="F44" s="4" t="s">
        <v>240</v>
      </c>
    </row>
    <row r="45" customFormat="false" ht="15" hidden="false" customHeight="false" outlineLevel="0" collapsed="false">
      <c r="A45" s="4" t="s">
        <v>241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242</v>
      </c>
      <c r="B46" s="4" t="s">
        <v>166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243</v>
      </c>
    </row>
    <row r="47" customFormat="false" ht="15" hidden="false" customHeight="false" outlineLevel="0" collapsed="false">
      <c r="A47" s="4" t="s">
        <v>244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245</v>
      </c>
    </row>
    <row r="48" customFormat="false" ht="15" hidden="false" customHeight="false" outlineLevel="0" collapsed="false">
      <c r="A48" s="4" t="s">
        <v>246</v>
      </c>
      <c r="B48" s="4" t="s">
        <v>247</v>
      </c>
      <c r="C48" s="11" t="n">
        <f aca="false">C41*3.412</f>
        <v>43240.8147368421</v>
      </c>
      <c r="D48" s="11" t="n">
        <f aca="false">D41*3.412</f>
        <v>43240.8147368421</v>
      </c>
      <c r="E48" s="6" t="s">
        <v>11</v>
      </c>
      <c r="F48" s="4" t="s">
        <v>248</v>
      </c>
    </row>
    <row r="49" customFormat="false" ht="15" hidden="false" customHeight="false" outlineLevel="0" collapsed="false">
      <c r="A49" s="4" t="s">
        <v>249</v>
      </c>
      <c r="B49" s="4" t="s">
        <v>203</v>
      </c>
      <c r="C49" s="21" t="n">
        <f aca="false">C41/C6/1000</f>
        <v>1.58414473684211</v>
      </c>
      <c r="D49" s="21" t="n">
        <f aca="false">D41/D6/1000</f>
        <v>1.58414473684211</v>
      </c>
      <c r="E49" s="6" t="s">
        <v>11</v>
      </c>
      <c r="F49" s="4" t="s">
        <v>250</v>
      </c>
    </row>
    <row r="50" customFormat="false" ht="15" hidden="false" customHeight="false" outlineLevel="0" collapsed="false">
      <c r="A50" s="4" t="s">
        <v>251</v>
      </c>
      <c r="B50" s="4" t="s">
        <v>163</v>
      </c>
      <c r="C50" s="22" t="n">
        <f aca="false">INT(C25*1000/C41)</f>
        <v>2</v>
      </c>
      <c r="D50" s="22" t="n">
        <f aca="false">INT(D25*1000/D41)</f>
        <v>2</v>
      </c>
      <c r="E50" s="6" t="s">
        <v>11</v>
      </c>
      <c r="F50" s="4" t="s">
        <v>252</v>
      </c>
    </row>
    <row r="51" customFormat="false" ht="15" hidden="false" customHeight="false" outlineLevel="0" collapsed="false">
      <c r="A51" s="4" t="s">
        <v>253</v>
      </c>
      <c r="B51" s="4" t="s">
        <v>163</v>
      </c>
      <c r="C51" s="22" t="n">
        <f aca="false">INT(C27/C26)</f>
        <v>3</v>
      </c>
      <c r="D51" s="22" t="n">
        <f aca="false">INT(D27/D26)</f>
        <v>3</v>
      </c>
      <c r="E51" s="6" t="s">
        <v>11</v>
      </c>
      <c r="F51" s="4" t="s">
        <v>254</v>
      </c>
    </row>
    <row r="52" customFormat="false" ht="15" hidden="false" customHeight="false" outlineLevel="0" collapsed="false">
      <c r="A52" s="4" t="s">
        <v>255</v>
      </c>
      <c r="B52" s="4" t="s">
        <v>163</v>
      </c>
      <c r="C52" s="22" t="n">
        <f aca="false">MIN(C50,C51)</f>
        <v>2</v>
      </c>
      <c r="D52" s="22" t="n">
        <f aca="false">MIN(D50,D51)</f>
        <v>2</v>
      </c>
      <c r="E52" s="6" t="s">
        <v>11</v>
      </c>
      <c r="F52" s="4" t="s">
        <v>256</v>
      </c>
    </row>
    <row r="53" customFormat="false" ht="15" hidden="false" customHeight="false" outlineLevel="0" collapsed="false">
      <c r="A53" s="4" t="s">
        <v>257</v>
      </c>
      <c r="B53" s="4" t="s">
        <v>163</v>
      </c>
      <c r="C53" s="22" t="n">
        <f aca="false">C52*C6</f>
        <v>16</v>
      </c>
      <c r="D53" s="22" t="n">
        <f aca="false">D52*D6</f>
        <v>16</v>
      </c>
      <c r="E53" s="6" t="s">
        <v>11</v>
      </c>
      <c r="F53" s="4" t="s">
        <v>258</v>
      </c>
    </row>
    <row r="54" customFormat="false" ht="15" hidden="false" customHeight="false" outlineLevel="0" collapsed="false">
      <c r="A54" s="4" t="s">
        <v>259</v>
      </c>
      <c r="B54" s="4" t="s">
        <v>203</v>
      </c>
      <c r="C54" s="23" t="n">
        <f aca="false">C52*C41/1000</f>
        <v>25.3463157894737</v>
      </c>
      <c r="D54" s="23" t="n">
        <f aca="false">D52*D41/1000</f>
        <v>25.3463157894737</v>
      </c>
      <c r="E54" s="6" t="s">
        <v>11</v>
      </c>
      <c r="F54" s="4" t="s">
        <v>260</v>
      </c>
    </row>
    <row r="56" customFormat="false" ht="39" hidden="false" customHeight="true" outlineLevel="0" collapsed="false">
      <c r="A56" s="24" t="s">
        <v>261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9" t="s">
        <v>264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265</v>
      </c>
      <c r="C5" s="3" t="s">
        <v>266</v>
      </c>
      <c r="D5" s="3" t="s">
        <v>9</v>
      </c>
      <c r="E5" s="3" t="s">
        <v>267</v>
      </c>
      <c r="F5" s="3" t="s">
        <v>268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269</v>
      </c>
      <c r="C6" s="4" t="s">
        <v>270</v>
      </c>
      <c r="D6" s="4" t="s">
        <v>271</v>
      </c>
      <c r="E6" s="4" t="s">
        <v>272</v>
      </c>
      <c r="F6" s="4" t="s">
        <v>273</v>
      </c>
      <c r="G6" s="4" t="s">
        <v>274</v>
      </c>
      <c r="H6" s="5" t="s">
        <v>8</v>
      </c>
    </row>
    <row r="7" customFormat="false" ht="15" hidden="false" customHeight="false" outlineLevel="0" collapsed="false">
      <c r="A7" s="4" t="s">
        <v>13</v>
      </c>
      <c r="B7" s="4" t="s">
        <v>275</v>
      </c>
      <c r="C7" s="4" t="s">
        <v>270</v>
      </c>
      <c r="D7" s="4" t="s">
        <v>271</v>
      </c>
      <c r="E7" s="4" t="s">
        <v>276</v>
      </c>
      <c r="F7" s="4" t="s">
        <v>277</v>
      </c>
      <c r="G7" s="4" t="s">
        <v>274</v>
      </c>
      <c r="H7" s="5" t="s">
        <v>8</v>
      </c>
    </row>
    <row r="8" customFormat="false" ht="15" hidden="false" customHeight="false" outlineLevel="0" collapsed="false">
      <c r="A8" s="4" t="s">
        <v>13</v>
      </c>
      <c r="B8" s="4" t="s">
        <v>278</v>
      </c>
      <c r="C8" s="4" t="s">
        <v>270</v>
      </c>
      <c r="D8" s="4" t="s">
        <v>279</v>
      </c>
      <c r="E8" s="4" t="s">
        <v>280</v>
      </c>
      <c r="F8" s="4" t="s">
        <v>281</v>
      </c>
      <c r="G8" s="4" t="s">
        <v>282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283</v>
      </c>
      <c r="C9" s="4" t="s">
        <v>270</v>
      </c>
      <c r="D9" s="4" t="s">
        <v>279</v>
      </c>
      <c r="E9" s="4" t="s">
        <v>284</v>
      </c>
      <c r="F9" s="4" t="s">
        <v>285</v>
      </c>
      <c r="G9" s="4" t="s">
        <v>274</v>
      </c>
      <c r="H9" s="5" t="s">
        <v>8</v>
      </c>
    </row>
    <row r="10" customFormat="false" ht="15" hidden="false" customHeight="false" outlineLevel="0" collapsed="false">
      <c r="A10" s="4" t="s">
        <v>13</v>
      </c>
      <c r="B10" s="4" t="s">
        <v>286</v>
      </c>
      <c r="C10" s="4" t="s">
        <v>270</v>
      </c>
      <c r="D10" s="4" t="s">
        <v>287</v>
      </c>
      <c r="E10" s="4" t="s">
        <v>288</v>
      </c>
      <c r="F10" s="4" t="s">
        <v>281</v>
      </c>
      <c r="G10" s="4" t="s">
        <v>282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289</v>
      </c>
      <c r="C11" s="4" t="s">
        <v>270</v>
      </c>
      <c r="D11" s="4" t="s">
        <v>287</v>
      </c>
      <c r="E11" s="4" t="s">
        <v>290</v>
      </c>
      <c r="F11" s="4" t="s">
        <v>285</v>
      </c>
      <c r="G11" s="4" t="s">
        <v>291</v>
      </c>
      <c r="H11" s="5" t="s">
        <v>8</v>
      </c>
    </row>
    <row r="12" customFormat="false" ht="15" hidden="false" customHeight="false" outlineLevel="0" collapsed="false">
      <c r="A12" s="4" t="s">
        <v>13</v>
      </c>
      <c r="B12" s="4" t="s">
        <v>292</v>
      </c>
      <c r="C12" s="4" t="s">
        <v>293</v>
      </c>
      <c r="D12" s="4" t="s">
        <v>271</v>
      </c>
      <c r="E12" s="4" t="s">
        <v>272</v>
      </c>
      <c r="F12" s="4" t="s">
        <v>273</v>
      </c>
      <c r="G12" s="4" t="s">
        <v>274</v>
      </c>
      <c r="H12" s="5" t="s">
        <v>8</v>
      </c>
    </row>
    <row r="13" customFormat="false" ht="15" hidden="false" customHeight="false" outlineLevel="0" collapsed="false">
      <c r="A13" s="4" t="s">
        <v>13</v>
      </c>
      <c r="B13" s="4" t="s">
        <v>294</v>
      </c>
      <c r="C13" s="4" t="s">
        <v>293</v>
      </c>
      <c r="D13" s="4" t="s">
        <v>271</v>
      </c>
      <c r="E13" s="4" t="s">
        <v>276</v>
      </c>
      <c r="F13" s="4" t="s">
        <v>277</v>
      </c>
      <c r="G13" s="4" t="s">
        <v>274</v>
      </c>
      <c r="H13" s="5" t="s">
        <v>8</v>
      </c>
    </row>
    <row r="14" customFormat="false" ht="15" hidden="false" customHeight="false" outlineLevel="0" collapsed="false">
      <c r="A14" s="4" t="s">
        <v>13</v>
      </c>
      <c r="B14" s="4" t="s">
        <v>295</v>
      </c>
      <c r="C14" s="4" t="s">
        <v>293</v>
      </c>
      <c r="D14" s="4" t="s">
        <v>279</v>
      </c>
      <c r="E14" s="4" t="s">
        <v>280</v>
      </c>
      <c r="F14" s="4" t="s">
        <v>281</v>
      </c>
      <c r="G14" s="4" t="s">
        <v>282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296</v>
      </c>
      <c r="C15" s="4" t="s">
        <v>293</v>
      </c>
      <c r="D15" s="4" t="s">
        <v>279</v>
      </c>
      <c r="E15" s="4" t="s">
        <v>284</v>
      </c>
      <c r="F15" s="4" t="s">
        <v>285</v>
      </c>
      <c r="G15" s="4" t="s">
        <v>274</v>
      </c>
      <c r="H15" s="5" t="s">
        <v>8</v>
      </c>
    </row>
    <row r="16" customFormat="false" ht="15" hidden="false" customHeight="false" outlineLevel="0" collapsed="false">
      <c r="A16" s="4" t="s">
        <v>13</v>
      </c>
      <c r="B16" s="4" t="s">
        <v>297</v>
      </c>
      <c r="C16" s="4" t="s">
        <v>293</v>
      </c>
      <c r="D16" s="4" t="s">
        <v>287</v>
      </c>
      <c r="E16" s="4" t="s">
        <v>288</v>
      </c>
      <c r="F16" s="4" t="s">
        <v>281</v>
      </c>
      <c r="G16" s="4" t="s">
        <v>282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298</v>
      </c>
      <c r="C17" s="4" t="s">
        <v>293</v>
      </c>
      <c r="D17" s="4" t="s">
        <v>287</v>
      </c>
      <c r="E17" s="4" t="s">
        <v>290</v>
      </c>
      <c r="F17" s="4" t="s">
        <v>285</v>
      </c>
      <c r="G17" s="4" t="s">
        <v>291</v>
      </c>
      <c r="H17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3" t="s">
        <v>301</v>
      </c>
      <c r="B4" s="3" t="s">
        <v>302</v>
      </c>
      <c r="C4" s="3" t="s">
        <v>303</v>
      </c>
      <c r="D4" s="3" t="s">
        <v>304</v>
      </c>
    </row>
    <row r="5" customFormat="false" ht="15" hidden="false" customHeight="false" outlineLevel="0" collapsed="false">
      <c r="A5" s="4" t="n">
        <v>1</v>
      </c>
      <c r="B5" s="4" t="s">
        <v>305</v>
      </c>
      <c r="C5" s="4" t="s">
        <v>306</v>
      </c>
      <c r="D5" s="4" t="s">
        <v>307</v>
      </c>
    </row>
    <row r="6" customFormat="false" ht="23.85" hidden="false" customHeight="false" outlineLevel="0" collapsed="false">
      <c r="A6" s="4" t="n">
        <v>2</v>
      </c>
      <c r="B6" s="4" t="s">
        <v>308</v>
      </c>
      <c r="C6" s="4" t="s">
        <v>309</v>
      </c>
      <c r="D6" s="4" t="s">
        <v>310</v>
      </c>
    </row>
    <row r="7" customFormat="false" ht="35.05" hidden="false" customHeight="false" outlineLevel="0" collapsed="false">
      <c r="A7" s="4" t="n">
        <v>3</v>
      </c>
      <c r="B7" s="4" t="s">
        <v>311</v>
      </c>
      <c r="C7" s="4" t="s">
        <v>312</v>
      </c>
      <c r="D7" s="4" t="s">
        <v>313</v>
      </c>
    </row>
    <row r="8" customFormat="false" ht="23.85" hidden="false" customHeight="false" outlineLevel="0" collapsed="false">
      <c r="A8" s="4" t="n">
        <v>4</v>
      </c>
      <c r="B8" s="4" t="s">
        <v>314</v>
      </c>
      <c r="C8" s="4" t="s">
        <v>315</v>
      </c>
      <c r="D8" s="4" t="s">
        <v>316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15" hidden="false" customHeight="false" outlineLevel="0" collapsed="false">
      <c r="A4" s="3" t="s">
        <v>319</v>
      </c>
      <c r="B4" s="3" t="s">
        <v>5</v>
      </c>
      <c r="C4" s="3" t="s">
        <v>320</v>
      </c>
      <c r="D4" s="3" t="s">
        <v>321</v>
      </c>
    </row>
    <row r="5" customFormat="false" ht="23.85" hidden="false" customHeight="false" outlineLevel="0" collapsed="false">
      <c r="A5" s="4" t="s">
        <v>63</v>
      </c>
      <c r="B5" s="4" t="s">
        <v>322</v>
      </c>
      <c r="C5" s="4" t="s">
        <v>323</v>
      </c>
      <c r="D5" s="5" t="s">
        <v>8</v>
      </c>
    </row>
    <row r="6" customFormat="false" ht="23.85" hidden="false" customHeight="false" outlineLevel="0" collapsed="false">
      <c r="A6" s="4" t="s">
        <v>324</v>
      </c>
      <c r="B6" s="4" t="s">
        <v>325</v>
      </c>
      <c r="C6" s="4" t="s">
        <v>326</v>
      </c>
      <c r="D6" s="5" t="s">
        <v>8</v>
      </c>
    </row>
    <row r="7" customFormat="false" ht="15" hidden="false" customHeight="false" outlineLevel="0" collapsed="false">
      <c r="A7" s="4" t="s">
        <v>102</v>
      </c>
      <c r="B7" s="4" t="s">
        <v>327</v>
      </c>
      <c r="C7" s="4" t="s">
        <v>328</v>
      </c>
      <c r="D7" s="12" t="s">
        <v>42</v>
      </c>
    </row>
    <row r="8" customFormat="false" ht="23.85" hidden="false" customHeight="false" outlineLevel="0" collapsed="false">
      <c r="A8" s="4" t="s">
        <v>20</v>
      </c>
      <c r="B8" s="4" t="s">
        <v>329</v>
      </c>
      <c r="C8" s="4" t="s">
        <v>330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15" hidden="false" customHeight="false" outlineLevel="0" collapsed="false">
      <c r="A4" s="25" t="s">
        <v>333</v>
      </c>
    </row>
    <row r="5" customFormat="false" ht="15" hidden="false" customHeight="false" outlineLevel="0" collapsed="false">
      <c r="A5" s="25" t="s">
        <v>334</v>
      </c>
    </row>
    <row r="6" customFormat="false" ht="15" hidden="false" customHeight="false" outlineLevel="0" collapsed="false">
      <c r="A6" s="25" t="s">
        <v>335</v>
      </c>
    </row>
    <row r="7" customFormat="false" ht="15" hidden="false" customHeight="false" outlineLevel="0" collapsed="false">
      <c r="A7" s="25" t="s">
        <v>336</v>
      </c>
    </row>
    <row r="8" customFormat="false" ht="15" hidden="false" customHeight="false" outlineLevel="0" collapsed="false">
      <c r="A8" s="25" t="s">
        <v>337</v>
      </c>
    </row>
    <row r="9" customFormat="false" ht="15" hidden="false" customHeight="false" outlineLevel="0" collapsed="false">
      <c r="A9" s="25" t="s">
        <v>338</v>
      </c>
    </row>
    <row r="10" customFormat="false" ht="15" hidden="false" customHeight="false" outlineLevel="0" collapsed="false">
      <c r="A10" s="25" t="s">
        <v>339</v>
      </c>
    </row>
    <row r="11" customFormat="false" ht="15" hidden="false" customHeight="false" outlineLevel="0" collapsed="false">
      <c r="A11" s="25" t="s">
        <v>340</v>
      </c>
    </row>
    <row r="12" customFormat="false" ht="15" hidden="false" customHeight="false" outlineLevel="0" collapsed="false">
      <c r="A12" s="25" t="s">
        <v>341</v>
      </c>
    </row>
    <row r="13" customFormat="false" ht="15" hidden="false" customHeight="false" outlineLevel="0" collapsed="false">
      <c r="A13" s="25" t="s">
        <v>342</v>
      </c>
    </row>
    <row r="14" customFormat="false" ht="15" hidden="false" customHeight="false" outlineLevel="0" collapsed="false">
      <c r="A14" s="25" t="s">
        <v>343</v>
      </c>
    </row>
    <row r="15" customFormat="false" ht="15" hidden="false" customHeight="false" outlineLevel="0" collapsed="false">
      <c r="A15" s="25" t="s">
        <v>344</v>
      </c>
    </row>
    <row r="16" customFormat="false" ht="15" hidden="false" customHeight="false" outlineLevel="0" collapsed="false">
      <c r="A16" s="25" t="s">
        <v>345</v>
      </c>
    </row>
    <row r="17" customFormat="false" ht="15" hidden="false" customHeight="false" outlineLevel="0" collapsed="false">
      <c r="A17" s="25" t="s">
        <v>346</v>
      </c>
    </row>
    <row r="18" customFormat="false" ht="15" hidden="false" customHeight="false" outlineLevel="0" collapsed="false">
      <c r="A18" s="25" t="s">
        <v>347</v>
      </c>
    </row>
    <row r="19" customFormat="false" ht="15" hidden="false" customHeight="false" outlineLevel="0" collapsed="false">
      <c r="A19" s="25" t="s">
        <v>348</v>
      </c>
    </row>
    <row r="20" customFormat="false" ht="15" hidden="false" customHeight="false" outlineLevel="0" collapsed="false">
      <c r="A20" s="25" t="s">
        <v>349</v>
      </c>
    </row>
    <row r="21" customFormat="false" ht="15" hidden="false" customHeight="false" outlineLevel="0" collapsed="false">
      <c r="A21" s="25" t="s">
        <v>350</v>
      </c>
    </row>
    <row r="22" customFormat="false" ht="15" hidden="false" customHeight="false" outlineLevel="0" collapsed="false">
      <c r="A22" s="25" t="s">
        <v>344</v>
      </c>
    </row>
    <row r="23" customFormat="false" ht="15" hidden="false" customHeight="false" outlineLevel="0" collapsed="false">
      <c r="A23" s="25" t="s">
        <v>345</v>
      </c>
    </row>
    <row r="24" customFormat="false" ht="15" hidden="false" customHeight="false" outlineLevel="0" collapsed="false">
      <c r="A24" s="25" t="s">
        <v>346</v>
      </c>
    </row>
    <row r="25" customFormat="false" ht="15" hidden="false" customHeight="false" outlineLevel="0" collapsed="false">
      <c r="A25" s="25" t="s">
        <v>347</v>
      </c>
    </row>
    <row r="26" customFormat="false" ht="15" hidden="false" customHeight="false" outlineLevel="0" collapsed="false">
      <c r="A26" s="25" t="s">
        <v>351</v>
      </c>
    </row>
    <row r="27" customFormat="false" ht="15" hidden="false" customHeight="false" outlineLevel="0" collapsed="false">
      <c r="A27" s="25" t="s">
        <v>349</v>
      </c>
    </row>
    <row r="28" customFormat="false" ht="15" hidden="false" customHeight="false" outlineLevel="0" collapsed="false">
      <c r="A28" s="25" t="s">
        <v>352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