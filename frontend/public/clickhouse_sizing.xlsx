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z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<sst xmlns="http://schemas.openxmlformats.org/spreadsheetml/2006/main" count="299" uniqueCount="225">
  <si>
    <t xml:space="preserve">ClickHouse Observability / Logs Sizing Sheet</t>
  </si>
  <si>
    <t xml:space="preserve">Edit the yellow input cells. Compression ratio, retention, replication and node caps drive the whole model; compressed footprint, merge-aware compute, shard/replica topology and ClickHouse settings recalculate below.</t>
  </si>
  <si>
    <t xml:space="preserve">1  ·  INPUTS</t>
  </si>
  <si>
    <t xml:space="preserve">Parameter</t>
  </si>
  <si>
    <t xml:space="preserve">Value</t>
  </si>
  <si>
    <t xml:space="preserve">Unit</t>
  </si>
  <si>
    <t xml:space="preserve">Basis / Notes</t>
  </si>
  <si>
    <t xml:space="preserve">Daily raw ingest (today)</t>
  </si>
  <si>
    <t xml:space="preserve">GB/day</t>
  </si>
  <si>
    <t xml:space="preserve">Raw JSON / line volume per day BEFORE compression. ClickHouse's home turf is high-volume logs, traces and metrics.</t>
  </si>
  <si>
    <t xml:space="preserve">Avg raw event size</t>
  </si>
  <si>
    <t xml:space="preserve">bytes</t>
  </si>
  <si>
    <t xml:space="preserve">Mean uncompressed event size. Drives row counts; row count - not bytes - governs part/merge and index-granule pressure.</t>
  </si>
  <si>
    <t xml:space="preserve">Annual data growth</t>
  </si>
  <si>
    <t xml:space="preserve">%</t>
  </si>
  <si>
    <t xml:space="preserve">Fractional growth per year (0.5 = +50%/yr). Compounds over the planning horizon.</t>
  </si>
  <si>
    <t xml:space="preserve">Planning horizon</t>
  </si>
  <si>
    <t xml:space="preserve">years</t>
  </si>
  <si>
    <t xml:space="preserve">Provision at the horizon, not at go-live.</t>
  </si>
  <si>
    <t xml:space="preserve">Compression ratio (raw -&gt; on-disk)</t>
  </si>
  <si>
    <t xml:space="preserve">x</t>
  </si>
  <si>
    <t xml:space="preserve">Raw bytes / on-disk bytes with ZSTD + columnar coding. THE dominant lever. 10x is a reasonable planning default for structured logs; real data ranges ~3x (wide, high-cardinality) to 30x+ (repetitive, well-ordered). Measure before committing.</t>
  </si>
  <si>
    <t xml:space="preserve">Merge &amp; part overhead</t>
  </si>
  <si>
    <t xml:space="preserve">Unmerged parts plus transient scratch during background merges. A single large merge can briefly need free space equal to the parts it rewrites - this factor plus the utilisation target below cover that.</t>
  </si>
  <si>
    <t xml:space="preserve">Hot (NVMe) retention</t>
  </si>
  <si>
    <t xml:space="preserve">days</t>
  </si>
  <si>
    <t xml:space="preserve">Days kept on local NVMe: actively inserted and frequently queried.</t>
  </si>
  <si>
    <t xml:space="preserve">Cold (object-store) retention</t>
  </si>
  <si>
    <t xml:space="preserve">Days after hot: moved to S3 via TTL ... TO VOLUME. Still queryable through a local cache; no extra ClickHouse nodes.</t>
  </si>
  <si>
    <t xml:space="preserve">Replication factor</t>
  </si>
  <si>
    <t xml:space="preserve">copies</t>
  </si>
  <si>
    <t xml:space="preserve">ReplicatedMergeTree copies. 2 = two full copies for HA: doubles local NVMe and replica-fetch network, NOT merge CPU.</t>
  </si>
  <si>
    <t xml:space="preserve">NVMe utilisation target</t>
  </si>
  <si>
    <t xml:space="preserve">Steady-state fill ceiling for local disk. Leaves headroom for merge scratch and part churn - never plan to fill NVMe.</t>
  </si>
  <si>
    <t xml:space="preserve">Peak-to-average ingest ratio</t>
  </si>
  <si>
    <t xml:space="preserve">Peak insert rate vs the 24 h average. Size the write path and merge pool for the peak, not the mean.</t>
  </si>
  <si>
    <t xml:space="preserve">Ingest + merge throughput / vCPU</t>
  </si>
  <si>
    <t xml:space="preserve">MB/s</t>
  </si>
  <si>
    <t xml:space="preserve">Raw MB/s a core sustains including parse, sort, compress and the amortised cost of background merges. ZSTD is CPU-heavy; LZ4 is faster but compresses less. Measure with your codec choice.</t>
  </si>
  <si>
    <t xml:space="preserve">Peak concurrent queries</t>
  </si>
  <si>
    <t xml:space="preserve">queries</t>
  </si>
  <si>
    <t xml:space="preserve">Analytical queries running at once at peak. ClickHouse serves each with heavy vectorised scans, not lightweight point reads.</t>
  </si>
  <si>
    <t xml:space="preserve">Avg data scanned / query</t>
  </si>
  <si>
    <t xml:space="preserve">GB</t>
  </si>
  <si>
    <t xml:space="preserve">On-disk (compressed) bytes a typical query reads AFTER primary-key and skip-index pruning. Good ORDER BY design keeps this small.</t>
  </si>
  <si>
    <t xml:space="preserve">Target query latency (P95)</t>
  </si>
  <si>
    <t xml:space="preserve">s</t>
  </si>
  <si>
    <t xml:space="preserve">P95 wall-clock budget for a scan query. Cores are sized so peak concurrency clears within this window.</t>
  </si>
  <si>
    <t xml:space="preserve">Scan throughput / vCPU</t>
  </si>
  <si>
    <t xml:space="preserve">GB/s</t>
  </si>
  <si>
    <t xml:space="preserve">On-disk GB/s one core sustains through decompress + filter. Bounded by NVMe bandwidth and codec; LZ4 decompresses several GB/s/core.</t>
  </si>
  <si>
    <t xml:space="preserve">Working memory / concurrent query</t>
  </si>
  <si>
    <t xml:space="preserve">RAM for GROUP BY / JOIN hash tables and sort buffers per heavy query. Big aggregations can spill to disk; keep max_bytes limits set.</t>
  </si>
  <si>
    <t xml:space="preserve">Cold cache fraction (local)</t>
  </si>
  <si>
    <t xml:space="preserve">Share of the cold (S3) tier to keep in local NVMe cache for query. Size to the cold working set, not the whole cold tier.</t>
  </si>
  <si>
    <t xml:space="preserve">RAM reserved (OS + caches)</t>
  </si>
  <si>
    <t xml:space="preserve">Fraction of node RAM held back from query working sets for the OS, page cache, mark cache and uncompressed cache.</t>
  </si>
  <si>
    <t xml:space="preserve">Max RAM per node</t>
  </si>
  <si>
    <t xml:space="preserve">Node template. ClickHouse boxes are large: 128-512 GB is typical. No JVM heap ceiling - RAM goes to query buffers and page cache.</t>
  </si>
  <si>
    <t xml:space="preserve">Max vCPU per node</t>
  </si>
  <si>
    <t xml:space="preserve">cores</t>
  </si>
  <si>
    <t xml:space="preserve">Per-node core cap. Exceeding demand adds shards rather than ever-larger nodes.</t>
  </si>
  <si>
    <t xml:space="preserve">Max NVMe per node</t>
  </si>
  <si>
    <t xml:space="preserve">Largest local volume per node (~24 TB). Also caps how much hot data a single shard-replica can hold.</t>
  </si>
  <si>
    <t xml:space="preserve">ClickHouse Keeper ensemble</t>
  </si>
  <si>
    <t xml:space="preserve">Yes</t>
  </si>
  <si>
    <t xml:space="preserve">Yes = 3-node ClickHouse Keeper (or ZooKeeper) quorum for replication coordination. No = reuse an existing external ensemble.</t>
  </si>
  <si>
    <t xml:space="preserve">2  ·  DATA FOOTPRINT (AT HORIZON)</t>
  </si>
  <si>
    <t xml:space="preserve">Daily raw ingest at horizon</t>
  </si>
  <si>
    <t xml:space="preserve">Compounded raw daily ingest at the end of the planning horizon.</t>
  </si>
  <si>
    <t xml:space="preserve">Rows per day at horizon</t>
  </si>
  <si>
    <t xml:space="preserve">rows/day</t>
  </si>
  <si>
    <t xml:space="preserve">Daily raw bytes / avg event size. This - not GB - is what drives part counts and merge scheduling.</t>
  </si>
  <si>
    <t xml:space="preserve">Daily on-disk (compressed)</t>
  </si>
  <si>
    <t xml:space="preserve">Raw ingest / compression ratio. Every downstream storage figure builds on this, so the ratio input dominates the sheet.</t>
  </si>
  <si>
    <t xml:space="preserve">Hot data (1 copy)</t>
  </si>
  <si>
    <t xml:space="preserve">Compressed daily size x hot retention, single copy.</t>
  </si>
  <si>
    <t xml:space="preserve">Hot local stored, incl. merge (1 copy)</t>
  </si>
  <si>
    <t xml:space="preserve">Hot data grossed up for unmerged parts and merge scratch. Still one copy.</t>
  </si>
  <si>
    <t xml:space="preserve">Cold data (1 copy, object store)</t>
  </si>
  <si>
    <t xml:space="preserve">Compressed daily size x cold retention. Lives on S3; a single durable copy - zero-copy replication means replicas share it.</t>
  </si>
  <si>
    <t xml:space="preserve">Cold local cache (1 copy)</t>
  </si>
  <si>
    <t xml:space="preserve">Slice of the cold tier held locally to serve cold queries at NVMe latency.</t>
  </si>
  <si>
    <t xml:space="preserve">Local NVMe per copy (provisioned)</t>
  </si>
  <si>
    <t xml:space="preserve">(Hot local + cold cache) / utilisation target. The provisioned NVMe one full copy of the cluster needs.</t>
  </si>
  <si>
    <t xml:space="preserve">Total NVMe incl. replicas</t>
  </si>
  <si>
    <t xml:space="preserve">Per-copy NVMe x replication factor. The local disk to actually buy across the cluster.</t>
  </si>
  <si>
    <t xml:space="preserve">Object-store capacity (cold)</t>
  </si>
  <si>
    <t xml:space="preserve">Cold tier on S3 / GCS / Azure Blob. Single copy - object-store durability replaces ClickHouse-level replication here.</t>
  </si>
  <si>
    <t xml:space="preserve">Total unique data managed</t>
  </si>
  <si>
    <t xml:space="preserve">Hot + cold, one copy. What the cluster is responsible for before replication.</t>
  </si>
  <si>
    <t xml:space="preserve">Storage saved vs raw</t>
  </si>
  <si>
    <t xml:space="preserve">Fraction of raw volume eliminated by compression. At 10x you store a tenth - the single biggest reason ClickHouse fits logs.</t>
  </si>
  <si>
    <t xml:space="preserve">3  ·  INGEST &amp; MERGE THROUGHPUT</t>
  </si>
  <si>
    <t xml:space="preserve">Average ingest rate</t>
  </si>
  <si>
    <t xml:space="preserve">Daily raw ingest spread evenly over 24 h. Real pipelines are never even - size to the peak below.</t>
  </si>
  <si>
    <t xml:space="preserve">Peak ingest rate</t>
  </si>
  <si>
    <t xml:space="preserve">Average x peak-to-average ratio. The write path and merge pool are sized for this.</t>
  </si>
  <si>
    <t xml:space="preserve">Peak insert rate</t>
  </si>
  <si>
    <t xml:space="preserve">rows/s</t>
  </si>
  <si>
    <t xml:space="preserve">Peak rows/s hitting the insert path. Batch these into large blocks - many small inserts create too many parts.</t>
  </si>
  <si>
    <t xml:space="preserve">Ingest + merge cores</t>
  </si>
  <si>
    <t xml:space="preserve">Peak MB/s / per-core throughput. NOT multiplied by replication: merges run once per shard and replicas fetch the finished part.</t>
  </si>
  <si>
    <t xml:space="preserve">Background merge allowance</t>
  </si>
  <si>
    <t xml:space="preserve">Merges, TTL moves to S3, mutations and part cleanup run continuously in the background.</t>
  </si>
  <si>
    <t xml:space="preserve">4  ·  QUERY &amp; COMPUTE DEMAND</t>
  </si>
  <si>
    <t xml:space="preserve">Query scan cores</t>
  </si>
  <si>
    <t xml:space="preserve">Concurrency x scan bytes / (per-core scan rate x latency budget). Falls fast if ORDER BY and skip indexes cut scanned bytes.</t>
  </si>
  <si>
    <t xml:space="preserve">Query working RAM</t>
  </si>
  <si>
    <t xml:space="preserve">Peak concurrency x per-query working memory. Bound each query with max_bytes_before_external_group_by to allow spill.</t>
  </si>
  <si>
    <t xml:space="preserve">Total vCPU demand</t>
  </si>
  <si>
    <t xml:space="preserve">Ingest + merge + background + query. The number the shard set must supply.</t>
  </si>
  <si>
    <t xml:space="preserve">Total query RAM demand</t>
  </si>
  <si>
    <t xml:space="preserve">Query working set across the cluster; page cache and mark cache come out of the reserved RAM per node.</t>
  </si>
  <si>
    <t xml:space="preserve">5  ·  NODE SHAPE &amp; SHARDING</t>
  </si>
  <si>
    <t xml:space="preserve">Usable query RAM per node</t>
  </si>
  <si>
    <t xml:space="preserve">Node RAM minus the OS/cache reserve. What is left for concurrent query working sets on one node.</t>
  </si>
  <si>
    <t xml:space="preserve">NVMe per node</t>
  </si>
  <si>
    <t xml:space="preserve">Local NVMe per shard-replica. Holds that shard's hot data plus its cold cache slice.</t>
  </si>
  <si>
    <t xml:space="preserve">Shards by NVMe</t>
  </si>
  <si>
    <t xml:space="preserve">shards</t>
  </si>
  <si>
    <t xml:space="preserve">Per-copy provisioned NVMe / NVMe per node. Replication is applied later as node count, not here.</t>
  </si>
  <si>
    <t xml:space="preserve">Shards by CPU</t>
  </si>
  <si>
    <t xml:space="preserve">Total vCPU demand / cores per node. One replica per shard serves a query, so the shard set carries compute.</t>
  </si>
  <si>
    <t xml:space="preserve">Shards by RAM</t>
  </si>
  <si>
    <t xml:space="preserve">Query working RAM / usable RAM per node.</t>
  </si>
  <si>
    <t xml:space="preserve">Recommended shards</t>
  </si>
  <si>
    <t xml:space="preserve">Binding constraint wins. Add shards to scale ingest, storage or scan bandwidth horizontally.</t>
  </si>
  <si>
    <t xml:space="preserve">Binding constraint</t>
  </si>
  <si>
    <t xml:space="preserve">Which limit set the shard count. If it is NVMe, denser nodes or more compression help; if CPU, faster codec or a better ORDER BY key.</t>
  </si>
  <si>
    <t xml:space="preserve">6  ·  CLUSTER TOPOLOGY &amp; TOTALS</t>
  </si>
  <si>
    <t xml:space="preserve">Shards</t>
  </si>
  <si>
    <t xml:space="preserve">From the sharding section.</t>
  </si>
  <si>
    <t xml:space="preserve">Replicas per shard</t>
  </si>
  <si>
    <t xml:space="preserve">Replication factor. Each replica is a full ClickHouse server holding a complete copy of its shard.</t>
  </si>
  <si>
    <t xml:space="preserve">ClickHouse server nodes</t>
  </si>
  <si>
    <t xml:space="preserve">nodes</t>
  </si>
  <si>
    <t xml:space="preserve">Shards x replicas. The keyed servers running ReplicatedMergeTree.</t>
  </si>
  <si>
    <t xml:space="preserve">ClickHouse Keeper nodes</t>
  </si>
  <si>
    <t xml:space="preserve">Three, always - a quorum of two survives one loss. Small, non-data coordination nodes; reuse an external ensemble to set 0.</t>
  </si>
  <si>
    <t xml:space="preserve">Total nodes</t>
  </si>
  <si>
    <t xml:space="preserve">Servers + Keeper.</t>
  </si>
  <si>
    <t xml:space="preserve">Per-node RAM</t>
  </si>
  <si>
    <t xml:space="preserve">Node template. Identical shapes keep the cluster predictable.</t>
  </si>
  <si>
    <t xml:space="preserve">Per-node vCPU</t>
  </si>
  <si>
    <t xml:space="preserve">Node template.</t>
  </si>
  <si>
    <t xml:space="preserve">Per-node NVMe</t>
  </si>
  <si>
    <t xml:space="preserve">Local NVMe SSD per node. Random-read latency is on the query critical path - keep the hot tier local.</t>
  </si>
  <si>
    <t xml:space="preserve">Total cluster vCPU</t>
  </si>
  <si>
    <t xml:space="preserve">Server nodes x cores. Compression, merges and scans all spend here.</t>
  </si>
  <si>
    <t xml:space="preserve">Total cluster RAM</t>
  </si>
  <si>
    <t xml:space="preserve">Server nodes x RAM. Query buffers plus OS page cache; no heap to carve out.</t>
  </si>
  <si>
    <t xml:space="preserve">Total NVMe provisioned</t>
  </si>
  <si>
    <t xml:space="preserve">Server nodes x per-node NVMe. Should comfortably exceed the required local NVMe (Total NVMe incl. replicas) with the utilisation target met.</t>
  </si>
  <si>
    <t xml:space="preserve">Cold tier on S3. Cheap, elastic and durable - the reason long retention is affordable.</t>
  </si>
  <si>
    <t xml:space="preserve">Effective compression</t>
  </si>
  <si>
    <t xml:space="preserve">Headline lever. Doubling this halves NVMe, shard count and node count - measure and tune it before adding hardware.</t>
  </si>
  <si>
    <t xml:space="preserve">7  ·  RECOMMENDED CONFIGURATION</t>
  </si>
  <si>
    <t xml:space="preserve">Table engine</t>
  </si>
  <si>
    <t xml:space="preserve">ReplicatedMergeTree</t>
  </si>
  <si>
    <t xml:space="preserve">Replication + background merges. Use a Distributed table over the shards for fan-out reads and inserts.</t>
  </si>
  <si>
    <t xml:space="preserve">ORDER BY (primary key)</t>
  </si>
  <si>
    <t xml:space="preserve">(service, toStartOfHour(ts), level)</t>
  </si>
  <si>
    <t xml:space="preserve">Low-cardinality, slowly-changing columns first, then a time bucket. Maximises run-length/delta compression and granule pruning.</t>
  </si>
  <si>
    <t xml:space="preserve">PARTITION BY</t>
  </si>
  <si>
    <t xml:space="preserve">toYYYYMMDD(timestamp)</t>
  </si>
  <si>
    <t xml:space="preserve">Daily partitions. Enables cheap TTL moves/drops and coarse pruning. Do NOT partition by hour - too many parts.</t>
  </si>
  <si>
    <t xml:space="preserve">index_granularity</t>
  </si>
  <si>
    <t xml:space="preserve">rows</t>
  </si>
  <si>
    <t xml:space="preserve">Default. Rows per primary-index mark. Lower it only for very selective point lookups.</t>
  </si>
  <si>
    <t xml:space="preserve">TTL: move to cold at</t>
  </si>
  <si>
    <t xml:space="preserve">timestamp + INTERVAL &lt;hot&gt; DAY TO VOLUME 'cold'. Ages hot partitions onto S3 automatically.</t>
  </si>
  <si>
    <t xml:space="preserve">TTL: delete at</t>
  </si>
  <si>
    <t xml:space="preserve">Total retention (hot + cold). Without a DELETE TTL the cluster grows without bound.</t>
  </si>
  <si>
    <t xml:space="preserve">storage_policy</t>
  </si>
  <si>
    <t xml:space="preserve">hot_nvme + cold_s3 (tiered)</t>
  </si>
  <si>
    <t xml:space="preserve">Two volumes: local NVMe (hot) and S3-backed disk (cold) with a local cache. TTL moves parts between them.</t>
  </si>
  <si>
    <t xml:space="preserve">Timestamp / counter codec</t>
  </si>
  <si>
    <t xml:space="preserve">CODEC(Delta, ZSTD(1))</t>
  </si>
  <si>
    <t xml:space="preserve">Delta then ZSTD on monotonic columns (time, sequence) - often the single largest compression win.</t>
  </si>
  <si>
    <t xml:space="preserve">Default column codec</t>
  </si>
  <si>
    <t xml:space="preserve">ZSTD(1)</t>
  </si>
  <si>
    <t xml:space="preserve">ZSTD(1) balances ratio and CPU for cold-ish log columns. Keep LZ4 on the hottest, most-scanned columns.</t>
  </si>
  <si>
    <t xml:space="preserve">async_insert / wait_for_async_insert</t>
  </si>
  <si>
    <t xml:space="preserve">1 / 1</t>
  </si>
  <si>
    <t xml:space="preserve">Let many small producers coalesce server-side into large parts; wait=1 keeps client-side delivery guarantees.</t>
  </si>
  <si>
    <t xml:space="preserve">Min insert batch</t>
  </si>
  <si>
    <t xml:space="preserve">Aim for tens of thousands to ~1M rows (or several MB) per insert to keep part creation sane.</t>
  </si>
  <si>
    <t xml:space="preserve">parts_to_throw_insert</t>
  </si>
  <si>
    <t xml:space="preserve">parts</t>
  </si>
  <si>
    <t xml:space="preserve">Backstop that rejects inserts when parts pile up - the signal that batches are too small or merges are starved.</t>
  </si>
  <si>
    <t xml:space="preserve">max_server_memory_usage_to_ram_ratio</t>
  </si>
  <si>
    <t xml:space="preserve">Cap server memory at 90% of RAM so the OS keeps page cache and never OOM-kills the process.</t>
  </si>
  <si>
    <t xml:space="preserve">max_concurrent_queries</t>
  </si>
  <si>
    <t xml:space="preserve">Headroom over peak concurrency. Pair with per-query memory limits so one heavy query cannot starve the rest.</t>
  </si>
  <si>
    <t xml:space="preserve">background_pool_size (merges)</t>
  </si>
  <si>
    <t xml:space="preserve">threads</t>
  </si>
  <si>
    <t xml:space="preserve">Merge worker threads. Scale with cores so merges keep pace with ingest; too few and parts accumulate.</t>
  </si>
  <si>
    <t xml:space="preserve">mark_cache_size</t>
  </si>
  <si>
    <t xml:space="preserve">5 GB</t>
  </si>
  <si>
    <t xml:space="preserve">Primary-index marks cache. A hot mark cache is what makes granule pruning fast; size generously.</t>
  </si>
  <si>
    <t xml:space="preserve">Skip index - id lookups</t>
  </si>
  <si>
    <t xml:space="preserve">bloom_filter on trace_id / request_id</t>
  </si>
  <si>
    <t xml:space="preserve">Bloom filter for high-cardinality equality lookups (trace_id, request_id) so scans skip whole granules.</t>
  </si>
  <si>
    <t xml:space="preserve">Skip index - log text search</t>
  </si>
  <si>
    <t xml:space="preserve">tokenbf_v1 / ngrambf_v1 on message</t>
  </si>
  <si>
    <t xml:space="preserve">Token / n-gram bloom filter for substring search in the message body without a full scan.</t>
  </si>
  <si>
    <t xml:space="preserve">Coordination</t>
  </si>
  <si>
    <t xml:space="preserve">Keeper is lighter than ZooKeeper and co-locatable, but keep it on its own quorum for anything production-sized.</t>
  </si>
  <si>
    <t xml:space="preserve">Storage - hot tier</t>
  </si>
  <si>
    <t xml:space="preserve">Local NVMe SSD</t>
  </si>
  <si>
    <t xml:space="preserve">Random-read latency and scan bandwidth both live here. Network-attached block storage cripples the hot tier.</t>
  </si>
  <si>
    <t xml:space="preserve">Storage - cold tier</t>
  </si>
  <si>
    <t xml:space="preserve">S3 / object store (zero-copy)</t>
  </si>
  <si>
    <t xml:space="preserve">Zero-copy replication: replicas share one S3 copy. Long retention costs object storage, not extra servers.</t>
  </si>
  <si>
    <t xml:space="preserve">8  ·  SIZING NOTES &amp; LEVERS</t>
  </si>
  <si>
    <t xml:space="preserve">1.  Compression ratio sets the whole footprint. 10x is a fair planning default for structured JSON logs with ZSTD, but real data runs from ~3x (wide, high-cardinality) to 30x+ (repetitive, well-ordered). Load a representative sample and measure the ratio before you commit capacity - nothing else on this sheet moves the numbers as much.</t>
  </si>
  <si>
    <t xml:space="preserve">2.  The ORDER BY key drives both compression and query speed. Put low-cardinality, slowly-changing columns first (service, then a time bucket); that maximises run-length and delta coding and lets the sparse primary index prune whole granules. A poor key inflates storage AND forces full scans.</t>
  </si>
  <si>
    <t xml:space="preserve">3.  Merges are the hidden compute cost. Every insert writes parts that background merges continuously rewrite; reserve CPU for them and keep NVMe under the utilisation target so a large merge has scratch space. 'Too many parts' means inserts are too small or too frequent - batch them.</t>
  </si>
  <si>
    <t xml:space="preserve">4.  Replicas fetch merged parts, they do NOT re-merge. Unlike an Elasticsearch replica (which re-analyses every document), a ReplicatedMergeTree replica downloads the finished part over the network. Replication multiplies local disk and network, not merge CPU - the opposite of the JVM-database intuition.</t>
  </si>
  <si>
    <t xml:space="preserve">5.  ClickHouse is CPU- and disk-bandwidth-bound, not heap-bound. There is no JVM heap ceiling: give the box RAM for query working sets and OS page cache, and spend cores on compression, merges and vectorised scans. Watch scan bandwidth (GB/s) before you watch RAM.</t>
  </si>
  <si>
    <t xml:space="preserve">6.  Tiered storage keeps compute flat. Move cold partitions to S3 with TTL ... TO VOLUME; the same nodes serve them through a local cache, so cold retention costs object storage, not extra ClickHouse servers. Size the local cache to the cold working set, not the whole cold tier.</t>
  </si>
  <si>
    <t xml:space="preserve">7.  Partition by day, not by hour. Too many partitions multiplies parts and merge load and slows startup. Daily partitions plus the time column early in ORDER BY give both coarse partition pruning and fine granule pruning.</t>
  </si>
  <si>
    <t xml:space="preserve">8.  Batch inserts and use async_insert. Aim for tens of thousands of rows (or a few MB) per insert. async_insert lets many small producers coalesce server-side; parts_to_throw_insert is the backstop that protects the merge scheduler.</t>
  </si>
  <si>
    <t xml:space="preserve">9.  Model, then benchmark, then resize. Load a representative day with real queries, measure the actual compression ratio, merge CPU and P95 scan latency with clickhouse-benchmark, and feed the observed numbers back into the yellow cells.</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</si>
</sst>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D9D9D9"/>
      <name val="Arial"/>
      <family val="0"/>
      <charset val="1"/>
    </font>
    <font>
      <b val="true"/>
      <sz val="11"/>
      <color rgb="FFFFFFFF"/>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sz val="9"/>
      <color rgb="FF595959"/>
      <name val="Arial"/>
      <family val="0"/>
      <charset val="1"/>
    </font>
    <font>
      <b val="true"/>
      <sz val="10"/>
      <color rgb="FF000000"/>
      <name val="Arial"/>
      <family val="0"/>
      <charset val="1"/>
    </font>
    <font>
      <b val="true"/>
      <sz val="10"/>
      <color rgb="FF006100"/>
      <name val="Arial"/>
      <family val="0"/>
      <charset val="1"/>
    </font>
  </fonts>
  <fills count="8">
    <fill>
      <patternFill patternType="none"/>
    </fill>
    <fill>
      <patternFill patternType="gray125"/>
    </fill>
    <fill>
      <patternFill patternType="solid">
        <fgColor rgb="FF1F3864"/>
        <bgColor rgb="FF2E5496"/>
      </patternFill>
    </fill>
    <fill>
      <patternFill patternType="solid">
        <fgColor rgb="FF2E5496"/>
        <bgColor rgb="FF44546A"/>
      </patternFill>
    </fill>
    <fill>
      <patternFill patternType="solid">
        <fgColor rgb="FF44546A"/>
        <bgColor rgb="FF595959"/>
      </patternFill>
    </fill>
    <fill>
      <patternFill patternType="solid">
        <fgColor rgb="FFFFF2CC"/>
        <bgColor rgb="FFF2F2F2"/>
      </patternFill>
    </fill>
    <fill>
      <patternFill patternType="solid">
        <fgColor rgb="FFF2F2F2"/>
        <bgColor rgb="FFE2EFDA"/>
      </patternFill>
    </fill>
    <fill>
      <patternFill patternType="solid">
        <fgColor rgb="FFE2EFDA"/>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7" fontId="11" fillId="6" borderId="0" xfId="0" applyFont="true" applyBorder="false" applyAlignment="false" applyProtection="false">
      <alignment horizontal="general" vertical="bottom" textRotation="0" wrapText="false" indent="0" shrinkToFit="false"/>
      <protection locked="true" hidden="false"/>
    </xf>
    <xf numFmtId="165" fontId="11" fillId="6" borderId="0" xfId="0" applyFont="true" applyBorder="false" applyAlignment="false" applyProtection="false">
      <alignment horizontal="general" vertical="bottom" textRotation="0" wrapText="false" indent="0" shrinkToFit="false"/>
      <protection locked="true" hidden="false"/>
    </xf>
    <xf numFmtId="166" fontId="11" fillId="6" borderId="0" xfId="0" applyFont="true" applyBorder="false" applyAlignment="false" applyProtection="false">
      <alignment horizontal="general" vertical="bottom" textRotation="0" wrapText="false" indent="0" shrinkToFit="false"/>
      <protection locked="true" hidden="false"/>
    </xf>
    <xf numFmtId="165" fontId="12" fillId="7"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44546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7"/>
    <col collapsed="false" customWidth="true" hidden="false" outlineLevel="0" max="2" min="2" style="0" width="16"/>
    <col collapsed="false" customWidth="true" hidden="false" outlineLevel="0" max="3" min="3" style="0" width="11"/>
    <col collapsed="false" customWidth="true" hidden="false" outlineLevel="0" max="4" min="4" style="0" width="88"/>
  </cols>
  <sheetData>
    <row r="1" customFormat="false" ht="18" hidden="false" customHeight="true" outlineLevel="0" collapsed="false">
      <c r="A1" s="1" t="s">
        <v>0</v>
      </c>
      <c r="B1" s="1"/>
      <c r="C1" s="1"/>
      <c r="D1" s="1"/>
    </row>
    <row r="2" customFormat="false" ht="15" hidden="false" customHeight="true" outlineLevel="0" collapsed="false">
      <c r="A2" s="2" t="s">
        <v>1</v>
      </c>
      <c r="B2" s="2"/>
      <c r="C2" s="2"/>
      <c r="D2" s="2"/>
    </row>
    <row r="4" customFormat="false" ht="15" hidden="false" customHeight="false" outlineLevel="0" collapsed="false">
      <c r="A4" s="3" t="s">
        <v>2</v>
      </c>
      <c r="B4" s="3"/>
      <c r="C4" s="3"/>
      <c r="D4" s="3"/>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2000</v>
      </c>
      <c r="C6" s="7" t="s">
        <v>8</v>
      </c>
      <c r="D6" s="7" t="s">
        <v>9</v>
      </c>
    </row>
    <row r="7" customFormat="false" ht="15" hidden="false" customHeight="false" outlineLevel="0" collapsed="false">
      <c r="A7" s="5" t="s">
        <v>10</v>
      </c>
      <c r="B7" s="6" t="n">
        <v>600</v>
      </c>
      <c r="C7" s="7" t="s">
        <v>11</v>
      </c>
      <c r="D7" s="7" t="s">
        <v>12</v>
      </c>
    </row>
    <row r="8" customFormat="false" ht="15" hidden="false" customHeight="false" outlineLevel="0" collapsed="false">
      <c r="A8" s="5" t="s">
        <v>13</v>
      </c>
      <c r="B8" s="8" t="n">
        <v>0.5</v>
      </c>
      <c r="C8" s="7" t="s">
        <v>14</v>
      </c>
      <c r="D8" s="7" t="s">
        <v>15</v>
      </c>
    </row>
    <row r="9" customFormat="false" ht="15" hidden="false" customHeight="false" outlineLevel="0" collapsed="false">
      <c r="A9" s="5" t="s">
        <v>16</v>
      </c>
      <c r="B9" s="6" t="n">
        <v>2</v>
      </c>
      <c r="C9" s="7" t="s">
        <v>17</v>
      </c>
      <c r="D9" s="7" t="s">
        <v>18</v>
      </c>
    </row>
    <row r="10" customFormat="false" ht="15" hidden="false" customHeight="false" outlineLevel="0" collapsed="false">
      <c r="A10" s="5" t="s">
        <v>19</v>
      </c>
      <c r="B10" s="8" t="n">
        <v>10</v>
      </c>
      <c r="C10" s="7" t="s">
        <v>20</v>
      </c>
      <c r="D10" s="7" t="s">
        <v>21</v>
      </c>
    </row>
    <row r="11" customFormat="false" ht="15" hidden="false" customHeight="false" outlineLevel="0" collapsed="false">
      <c r="A11" s="5" t="s">
        <v>22</v>
      </c>
      <c r="B11" s="8" t="n">
        <v>1.3</v>
      </c>
      <c r="C11" s="7" t="s">
        <v>20</v>
      </c>
      <c r="D11" s="7" t="s">
        <v>23</v>
      </c>
    </row>
    <row r="12" customFormat="false" ht="15" hidden="false" customHeight="false" outlineLevel="0" collapsed="false">
      <c r="A12" s="5" t="s">
        <v>24</v>
      </c>
      <c r="B12" s="6" t="n">
        <v>30</v>
      </c>
      <c r="C12" s="7" t="s">
        <v>25</v>
      </c>
      <c r="D12" s="7" t="s">
        <v>26</v>
      </c>
    </row>
    <row r="13" customFormat="false" ht="15" hidden="false" customHeight="false" outlineLevel="0" collapsed="false">
      <c r="A13" s="5" t="s">
        <v>27</v>
      </c>
      <c r="B13" s="6" t="n">
        <v>180</v>
      </c>
      <c r="C13" s="7" t="s">
        <v>25</v>
      </c>
      <c r="D13" s="7" t="s">
        <v>28</v>
      </c>
    </row>
    <row r="14" customFormat="false" ht="15" hidden="false" customHeight="false" outlineLevel="0" collapsed="false">
      <c r="A14" s="5" t="s">
        <v>29</v>
      </c>
      <c r="B14" s="6" t="n">
        <v>2</v>
      </c>
      <c r="C14" s="7" t="s">
        <v>30</v>
      </c>
      <c r="D14" s="7" t="s">
        <v>31</v>
      </c>
    </row>
    <row r="15" customFormat="false" ht="15" hidden="false" customHeight="false" outlineLevel="0" collapsed="false">
      <c r="A15" s="5" t="s">
        <v>32</v>
      </c>
      <c r="B15" s="8" t="n">
        <v>0.8</v>
      </c>
      <c r="C15" s="7" t="s">
        <v>14</v>
      </c>
      <c r="D15" s="7" t="s">
        <v>33</v>
      </c>
    </row>
    <row r="16" customFormat="false" ht="15" hidden="false" customHeight="false" outlineLevel="0" collapsed="false">
      <c r="A16" s="5" t="s">
        <v>34</v>
      </c>
      <c r="B16" s="8" t="n">
        <v>1.5</v>
      </c>
      <c r="C16" s="7" t="s">
        <v>20</v>
      </c>
      <c r="D16" s="7" t="s">
        <v>35</v>
      </c>
    </row>
    <row r="17" customFormat="false" ht="15" hidden="false" customHeight="false" outlineLevel="0" collapsed="false">
      <c r="A17" s="5" t="s">
        <v>36</v>
      </c>
      <c r="B17" s="8" t="n">
        <v>20</v>
      </c>
      <c r="C17" s="7" t="s">
        <v>37</v>
      </c>
      <c r="D17" s="7" t="s">
        <v>38</v>
      </c>
    </row>
    <row r="18" customFormat="false" ht="15" hidden="false" customHeight="false" outlineLevel="0" collapsed="false">
      <c r="A18" s="5" t="s">
        <v>39</v>
      </c>
      <c r="B18" s="6" t="n">
        <v>20</v>
      </c>
      <c r="C18" s="7" t="s">
        <v>40</v>
      </c>
      <c r="D18" s="7" t="s">
        <v>41</v>
      </c>
    </row>
    <row r="19" customFormat="false" ht="15" hidden="false" customHeight="false" outlineLevel="0" collapsed="false">
      <c r="A19" s="5" t="s">
        <v>42</v>
      </c>
      <c r="B19" s="8" t="n">
        <v>3</v>
      </c>
      <c r="C19" s="7" t="s">
        <v>43</v>
      </c>
      <c r="D19" s="7" t="s">
        <v>44</v>
      </c>
    </row>
    <row r="20" customFormat="false" ht="15" hidden="false" customHeight="false" outlineLevel="0" collapsed="false">
      <c r="A20" s="5" t="s">
        <v>45</v>
      </c>
      <c r="B20" s="8" t="n">
        <v>3</v>
      </c>
      <c r="C20" s="7" t="s">
        <v>46</v>
      </c>
      <c r="D20" s="7" t="s">
        <v>47</v>
      </c>
    </row>
    <row r="21" customFormat="false" ht="15" hidden="false" customHeight="false" outlineLevel="0" collapsed="false">
      <c r="A21" s="5" t="s">
        <v>48</v>
      </c>
      <c r="B21" s="8" t="n">
        <v>1.5</v>
      </c>
      <c r="C21" s="7" t="s">
        <v>49</v>
      </c>
      <c r="D21" s="7" t="s">
        <v>50</v>
      </c>
    </row>
    <row r="22" customFormat="false" ht="15" hidden="false" customHeight="false" outlineLevel="0" collapsed="false">
      <c r="A22" s="5" t="s">
        <v>51</v>
      </c>
      <c r="B22" s="8" t="n">
        <v>4</v>
      </c>
      <c r="C22" s="7" t="s">
        <v>43</v>
      </c>
      <c r="D22" s="7" t="s">
        <v>52</v>
      </c>
    </row>
    <row r="23" customFormat="false" ht="15" hidden="false" customHeight="false" outlineLevel="0" collapsed="false">
      <c r="A23" s="5" t="s">
        <v>53</v>
      </c>
      <c r="B23" s="8" t="n">
        <v>0.05</v>
      </c>
      <c r="C23" s="7" t="s">
        <v>14</v>
      </c>
      <c r="D23" s="7" t="s">
        <v>54</v>
      </c>
    </row>
    <row r="24" customFormat="false" ht="15" hidden="false" customHeight="false" outlineLevel="0" collapsed="false">
      <c r="A24" s="5" t="s">
        <v>55</v>
      </c>
      <c r="B24" s="8" t="n">
        <v>0.2</v>
      </c>
      <c r="C24" s="7" t="s">
        <v>14</v>
      </c>
      <c r="D24" s="7" t="s">
        <v>56</v>
      </c>
    </row>
    <row r="25" customFormat="false" ht="15" hidden="false" customHeight="false" outlineLevel="0" collapsed="false">
      <c r="A25" s="5" t="s">
        <v>57</v>
      </c>
      <c r="B25" s="6" t="n">
        <v>256</v>
      </c>
      <c r="C25" s="7" t="s">
        <v>43</v>
      </c>
      <c r="D25" s="7" t="s">
        <v>58</v>
      </c>
    </row>
    <row r="26" customFormat="false" ht="15" hidden="false" customHeight="false" outlineLevel="0" collapsed="false">
      <c r="A26" s="5" t="s">
        <v>59</v>
      </c>
      <c r="B26" s="6" t="n">
        <v>64</v>
      </c>
      <c r="C26" s="7" t="s">
        <v>60</v>
      </c>
      <c r="D26" s="7" t="s">
        <v>61</v>
      </c>
    </row>
    <row r="27" customFormat="false" ht="15" hidden="false" customHeight="false" outlineLevel="0" collapsed="false">
      <c r="A27" s="5" t="s">
        <v>62</v>
      </c>
      <c r="B27" s="6" t="n">
        <v>24000</v>
      </c>
      <c r="C27" s="7" t="s">
        <v>43</v>
      </c>
      <c r="D27" s="7" t="s">
        <v>63</v>
      </c>
    </row>
    <row r="28" customFormat="false" ht="15" hidden="false" customHeight="false" outlineLevel="0" collapsed="false">
      <c r="A28" s="5" t="s">
        <v>64</v>
      </c>
      <c r="B28" s="9" t="s">
        <v>65</v>
      </c>
      <c r="D28" s="7" t="s">
        <v>66</v>
      </c>
    </row>
    <row r="29" customFormat="false" ht="15" hidden="false" customHeight="false" outlineLevel="0" collapsed="false">
      <c r="A29" s="3" t="s">
        <v>67</v>
      </c>
      <c r="B29" s="3"/>
      <c r="C29" s="3"/>
      <c r="D29" s="3"/>
    </row>
    <row r="30" customFormat="false" ht="15" hidden="false" customHeight="false" outlineLevel="0" collapsed="false">
      <c r="A30" s="4" t="s">
        <v>3</v>
      </c>
      <c r="B30" s="4" t="s">
        <v>4</v>
      </c>
      <c r="C30" s="4" t="s">
        <v>5</v>
      </c>
      <c r="D30" s="4" t="s">
        <v>6</v>
      </c>
    </row>
    <row r="31" customFormat="false" ht="15" hidden="false" customHeight="false" outlineLevel="0" collapsed="false">
      <c r="A31" s="5" t="s">
        <v>68</v>
      </c>
      <c r="B31" s="10" t="n">
        <f aca="false">B6*(1+B8)^B9</f>
        <v>4500</v>
      </c>
      <c r="C31" s="7" t="s">
        <v>8</v>
      </c>
      <c r="D31" s="7" t="s">
        <v>69</v>
      </c>
    </row>
    <row r="32" customFormat="false" ht="15" hidden="false" customHeight="false" outlineLevel="0" collapsed="false">
      <c r="A32" s="5" t="s">
        <v>70</v>
      </c>
      <c r="B32" s="11" t="n">
        <f aca="false">B31*1000000000/B7</f>
        <v>7500000000</v>
      </c>
      <c r="C32" s="7" t="s">
        <v>71</v>
      </c>
      <c r="D32" s="7" t="s">
        <v>72</v>
      </c>
    </row>
    <row r="33" customFormat="false" ht="15" hidden="false" customHeight="false" outlineLevel="0" collapsed="false">
      <c r="A33" s="5" t="s">
        <v>73</v>
      </c>
      <c r="B33" s="10" t="n">
        <f aca="false">B31/B10</f>
        <v>450</v>
      </c>
      <c r="C33" s="7" t="s">
        <v>8</v>
      </c>
      <c r="D33" s="7" t="s">
        <v>74</v>
      </c>
    </row>
    <row r="34" customFormat="false" ht="15" hidden="false" customHeight="false" outlineLevel="0" collapsed="false">
      <c r="A34" s="5" t="s">
        <v>75</v>
      </c>
      <c r="B34" s="10" t="n">
        <f aca="false">B33*B12</f>
        <v>13500</v>
      </c>
      <c r="C34" s="7" t="s">
        <v>43</v>
      </c>
      <c r="D34" s="7" t="s">
        <v>76</v>
      </c>
    </row>
    <row r="35" customFormat="false" ht="15" hidden="false" customHeight="false" outlineLevel="0" collapsed="false">
      <c r="A35" s="5" t="s">
        <v>77</v>
      </c>
      <c r="B35" s="10" t="n">
        <f aca="false">B34*B11</f>
        <v>17550</v>
      </c>
      <c r="C35" s="7" t="s">
        <v>43</v>
      </c>
      <c r="D35" s="7" t="s">
        <v>78</v>
      </c>
    </row>
    <row r="36" customFormat="false" ht="15" hidden="false" customHeight="false" outlineLevel="0" collapsed="false">
      <c r="A36" s="5" t="s">
        <v>79</v>
      </c>
      <c r="B36" s="10" t="n">
        <f aca="false">B33*B13</f>
        <v>81000</v>
      </c>
      <c r="C36" s="7" t="s">
        <v>43</v>
      </c>
      <c r="D36" s="7" t="s">
        <v>80</v>
      </c>
    </row>
    <row r="37" customFormat="false" ht="15" hidden="false" customHeight="false" outlineLevel="0" collapsed="false">
      <c r="A37" s="5" t="s">
        <v>81</v>
      </c>
      <c r="B37" s="10" t="n">
        <f aca="false">B36*B23</f>
        <v>4050</v>
      </c>
      <c r="C37" s="7" t="s">
        <v>43</v>
      </c>
      <c r="D37" s="7" t="s">
        <v>82</v>
      </c>
    </row>
    <row r="38" customFormat="false" ht="15" hidden="false" customHeight="false" outlineLevel="0" collapsed="false">
      <c r="A38" s="5" t="s">
        <v>83</v>
      </c>
      <c r="B38" s="10" t="n">
        <f aca="false">(B35+B37)/B15</f>
        <v>27000</v>
      </c>
      <c r="C38" s="7" t="s">
        <v>43</v>
      </c>
      <c r="D38" s="7" t="s">
        <v>84</v>
      </c>
    </row>
    <row r="39" customFormat="false" ht="15" hidden="false" customHeight="false" outlineLevel="0" collapsed="false">
      <c r="A39" s="5" t="s">
        <v>85</v>
      </c>
      <c r="B39" s="10" t="n">
        <f aca="false">B38*B14</f>
        <v>54000</v>
      </c>
      <c r="C39" s="7" t="s">
        <v>43</v>
      </c>
      <c r="D39" s="7" t="s">
        <v>86</v>
      </c>
    </row>
    <row r="40" customFormat="false" ht="15" hidden="false" customHeight="false" outlineLevel="0" collapsed="false">
      <c r="A40" s="5" t="s">
        <v>87</v>
      </c>
      <c r="B40" s="10" t="n">
        <f aca="false">B36</f>
        <v>81000</v>
      </c>
      <c r="C40" s="7" t="s">
        <v>43</v>
      </c>
      <c r="D40" s="7" t="s">
        <v>88</v>
      </c>
    </row>
    <row r="41" customFormat="false" ht="15" hidden="false" customHeight="false" outlineLevel="0" collapsed="false">
      <c r="A41" s="5" t="s">
        <v>89</v>
      </c>
      <c r="B41" s="10" t="n">
        <f aca="false">B34+B36</f>
        <v>94500</v>
      </c>
      <c r="C41" s="7" t="s">
        <v>43</v>
      </c>
      <c r="D41" s="7" t="s">
        <v>90</v>
      </c>
    </row>
    <row r="42" customFormat="false" ht="15" hidden="false" customHeight="false" outlineLevel="0" collapsed="false">
      <c r="A42" s="5" t="s">
        <v>91</v>
      </c>
      <c r="B42" s="12" t="n">
        <f aca="false">1-1/B10</f>
        <v>0.9</v>
      </c>
      <c r="C42" s="7" t="s">
        <v>14</v>
      </c>
      <c r="D42" s="7" t="s">
        <v>92</v>
      </c>
    </row>
    <row r="43" customFormat="false" ht="15" hidden="false" customHeight="false" outlineLevel="0" collapsed="false">
      <c r="A43" s="3" t="s">
        <v>93</v>
      </c>
      <c r="B43" s="3"/>
      <c r="C43" s="3"/>
      <c r="D43" s="3"/>
    </row>
    <row r="44" customFormat="false" ht="15" hidden="false" customHeight="false" outlineLevel="0" collapsed="false">
      <c r="A44" s="4" t="s">
        <v>3</v>
      </c>
      <c r="B44" s="4" t="s">
        <v>4</v>
      </c>
      <c r="C44" s="4" t="s">
        <v>5</v>
      </c>
      <c r="D44" s="4" t="s">
        <v>6</v>
      </c>
    </row>
    <row r="45" customFormat="false" ht="15" hidden="false" customHeight="false" outlineLevel="0" collapsed="false">
      <c r="A45" s="5" t="s">
        <v>94</v>
      </c>
      <c r="B45" s="10" t="n">
        <f aca="false">B31*1000/86400</f>
        <v>52.0833333333333</v>
      </c>
      <c r="C45" s="7" t="s">
        <v>37</v>
      </c>
      <c r="D45" s="7" t="s">
        <v>95</v>
      </c>
    </row>
    <row r="46" customFormat="false" ht="15" hidden="false" customHeight="false" outlineLevel="0" collapsed="false">
      <c r="A46" s="5" t="s">
        <v>96</v>
      </c>
      <c r="B46" s="10" t="n">
        <f aca="false">B45*B16</f>
        <v>78.125</v>
      </c>
      <c r="C46" s="7" t="s">
        <v>37</v>
      </c>
      <c r="D46" s="7" t="s">
        <v>97</v>
      </c>
    </row>
    <row r="47" customFormat="false" ht="15" hidden="false" customHeight="false" outlineLevel="0" collapsed="false">
      <c r="A47" s="5" t="s">
        <v>98</v>
      </c>
      <c r="B47" s="11" t="n">
        <f aca="false">B32/86400*B16</f>
        <v>130208.333333333</v>
      </c>
      <c r="C47" s="7" t="s">
        <v>99</v>
      </c>
      <c r="D47" s="7" t="s">
        <v>100</v>
      </c>
    </row>
    <row r="48" customFormat="false" ht="15" hidden="false" customHeight="false" outlineLevel="0" collapsed="false">
      <c r="A48" s="5" t="s">
        <v>101</v>
      </c>
      <c r="B48" s="11" t="n">
        <f aca="false">ROUNDUP(B46/B17,0)</f>
        <v>4</v>
      </c>
      <c r="C48" s="7" t="s">
        <v>60</v>
      </c>
      <c r="D48" s="7" t="s">
        <v>102</v>
      </c>
    </row>
    <row r="49" customFormat="false" ht="15" hidden="false" customHeight="false" outlineLevel="0" collapsed="false">
      <c r="A49" s="5" t="s">
        <v>103</v>
      </c>
      <c r="B49" s="11" t="n">
        <f aca="false">ROUNDUP(B48*0.3,0)</f>
        <v>2</v>
      </c>
      <c r="C49" s="7" t="s">
        <v>60</v>
      </c>
      <c r="D49" s="7" t="s">
        <v>104</v>
      </c>
    </row>
    <row r="50" customFormat="false" ht="15" hidden="false" customHeight="false" outlineLevel="0" collapsed="false">
      <c r="A50" s="3" t="s">
        <v>105</v>
      </c>
      <c r="B50" s="3"/>
      <c r="C50" s="3"/>
      <c r="D50" s="3"/>
    </row>
    <row r="51" customFormat="false" ht="15" hidden="false" customHeight="false" outlineLevel="0" collapsed="false">
      <c r="A51" s="4" t="s">
        <v>3</v>
      </c>
      <c r="B51" s="4" t="s">
        <v>4</v>
      </c>
      <c r="C51" s="4" t="s">
        <v>5</v>
      </c>
      <c r="D51" s="4" t="s">
        <v>6</v>
      </c>
    </row>
    <row r="52" customFormat="false" ht="15" hidden="false" customHeight="false" outlineLevel="0" collapsed="false">
      <c r="A52" s="5" t="s">
        <v>106</v>
      </c>
      <c r="B52" s="11" t="n">
        <f aca="false">ROUNDUP(B18*B19/(B21*B20),0)</f>
        <v>14</v>
      </c>
      <c r="C52" s="7" t="s">
        <v>60</v>
      </c>
      <c r="D52" s="7" t="s">
        <v>107</v>
      </c>
    </row>
    <row r="53" customFormat="false" ht="15" hidden="false" customHeight="false" outlineLevel="0" collapsed="false">
      <c r="A53" s="5" t="s">
        <v>108</v>
      </c>
      <c r="B53" s="10" t="n">
        <f aca="false">B18*B22</f>
        <v>80</v>
      </c>
      <c r="C53" s="7" t="s">
        <v>43</v>
      </c>
      <c r="D53" s="7" t="s">
        <v>109</v>
      </c>
    </row>
    <row r="54" customFormat="false" ht="15" hidden="false" customHeight="false" outlineLevel="0" collapsed="false">
      <c r="A54" s="5" t="s">
        <v>110</v>
      </c>
      <c r="B54" s="11" t="n">
        <f aca="false">B48+B49+B52</f>
        <v>20</v>
      </c>
      <c r="C54" s="7" t="s">
        <v>60</v>
      </c>
      <c r="D54" s="7" t="s">
        <v>111</v>
      </c>
    </row>
    <row r="55" customFormat="false" ht="15" hidden="false" customHeight="false" outlineLevel="0" collapsed="false">
      <c r="A55" s="5" t="s">
        <v>112</v>
      </c>
      <c r="B55" s="10" t="n">
        <f aca="false">B53</f>
        <v>80</v>
      </c>
      <c r="C55" s="7" t="s">
        <v>43</v>
      </c>
      <c r="D55" s="7" t="s">
        <v>113</v>
      </c>
    </row>
    <row r="56" customFormat="false" ht="15" hidden="false" customHeight="false" outlineLevel="0" collapsed="false">
      <c r="A56" s="3" t="s">
        <v>114</v>
      </c>
      <c r="B56" s="3"/>
      <c r="C56" s="3"/>
      <c r="D56" s="3"/>
    </row>
    <row r="57" customFormat="false" ht="15" hidden="false" customHeight="false" outlineLevel="0" collapsed="false">
      <c r="A57" s="4" t="s">
        <v>3</v>
      </c>
      <c r="B57" s="4" t="s">
        <v>4</v>
      </c>
      <c r="C57" s="4" t="s">
        <v>5</v>
      </c>
      <c r="D57" s="4" t="s">
        <v>6</v>
      </c>
    </row>
    <row r="58" customFormat="false" ht="15" hidden="false" customHeight="false" outlineLevel="0" collapsed="false">
      <c r="A58" s="5" t="s">
        <v>115</v>
      </c>
      <c r="B58" s="10" t="n">
        <f aca="false">B25*(1-B24)</f>
        <v>204.8</v>
      </c>
      <c r="C58" s="7" t="s">
        <v>43</v>
      </c>
      <c r="D58" s="7" t="s">
        <v>116</v>
      </c>
    </row>
    <row r="59" customFormat="false" ht="15" hidden="false" customHeight="false" outlineLevel="0" collapsed="false">
      <c r="A59" s="5" t="s">
        <v>117</v>
      </c>
      <c r="B59" s="11" t="n">
        <f aca="false">MIN(B27,B27)</f>
        <v>24000</v>
      </c>
      <c r="C59" s="7" t="s">
        <v>43</v>
      </c>
      <c r="D59" s="7" t="s">
        <v>118</v>
      </c>
    </row>
    <row r="60" customFormat="false" ht="15" hidden="false" customHeight="false" outlineLevel="0" collapsed="false">
      <c r="A60" s="5" t="s">
        <v>119</v>
      </c>
      <c r="B60" s="11" t="n">
        <f aca="false">ROUNDUP(B38/B59,0)</f>
        <v>2</v>
      </c>
      <c r="C60" s="7" t="s">
        <v>120</v>
      </c>
      <c r="D60" s="7" t="s">
        <v>121</v>
      </c>
    </row>
    <row r="61" customFormat="false" ht="15" hidden="false" customHeight="false" outlineLevel="0" collapsed="false">
      <c r="A61" s="5" t="s">
        <v>122</v>
      </c>
      <c r="B61" s="11" t="n">
        <f aca="false">ROUNDUP(B54/B26,0)</f>
        <v>1</v>
      </c>
      <c r="C61" s="7" t="s">
        <v>120</v>
      </c>
      <c r="D61" s="7" t="s">
        <v>123</v>
      </c>
    </row>
    <row r="62" customFormat="false" ht="15" hidden="false" customHeight="false" outlineLevel="0" collapsed="false">
      <c r="A62" s="5" t="s">
        <v>124</v>
      </c>
      <c r="B62" s="11" t="n">
        <f aca="false">ROUNDUP(B55/B58,0)</f>
        <v>1</v>
      </c>
      <c r="C62" s="7" t="s">
        <v>120</v>
      </c>
      <c r="D62" s="7" t="s">
        <v>125</v>
      </c>
    </row>
    <row r="63" customFormat="false" ht="15" hidden="false" customHeight="false" outlineLevel="0" collapsed="false">
      <c r="A63" s="5" t="s">
        <v>126</v>
      </c>
      <c r="B63" s="13" t="n">
        <f aca="false">MAX(1,B60,B61,B62)</f>
        <v>2</v>
      </c>
      <c r="C63" s="7" t="s">
        <v>120</v>
      </c>
      <c r="D63" s="7" t="s">
        <v>127</v>
      </c>
    </row>
    <row r="64" customFormat="false" ht="15" hidden="false" customHeight="false" outlineLevel="0" collapsed="false">
      <c r="A64" s="5" t="s">
        <v>128</v>
      </c>
      <c r="B64" s="14" t="str">
        <f aca="false">IF(AND(B63=B60,B60&gt;=B61,B60&gt;=B62),"NVMe capacity",IF(AND(B63=B61,B61&gt;=B62),"CPU (ingest + query)","Query RAM"))</f>
        <v>NVMe capacity</v>
      </c>
      <c r="D64" s="7" t="s">
        <v>129</v>
      </c>
    </row>
    <row r="65" customFormat="false" ht="15" hidden="false" customHeight="false" outlineLevel="0" collapsed="false">
      <c r="A65" s="3" t="s">
        <v>130</v>
      </c>
      <c r="B65" s="3"/>
      <c r="C65" s="3"/>
      <c r="D65" s="3"/>
    </row>
    <row r="66" customFormat="false" ht="15" hidden="false" customHeight="false" outlineLevel="0" collapsed="false">
      <c r="A66" s="4" t="s">
        <v>3</v>
      </c>
      <c r="B66" s="4" t="s">
        <v>4</v>
      </c>
      <c r="C66" s="4" t="s">
        <v>5</v>
      </c>
      <c r="D66" s="4" t="s">
        <v>6</v>
      </c>
    </row>
    <row r="67" customFormat="false" ht="15" hidden="false" customHeight="false" outlineLevel="0" collapsed="false">
      <c r="A67" s="5" t="s">
        <v>131</v>
      </c>
      <c r="B67" s="13" t="n">
        <f aca="false">B63</f>
        <v>2</v>
      </c>
      <c r="C67" s="7" t="s">
        <v>120</v>
      </c>
      <c r="D67" s="7" t="s">
        <v>132</v>
      </c>
    </row>
    <row r="68" customFormat="false" ht="15" hidden="false" customHeight="false" outlineLevel="0" collapsed="false">
      <c r="A68" s="5" t="s">
        <v>133</v>
      </c>
      <c r="B68" s="13" t="n">
        <f aca="false">B14</f>
        <v>2</v>
      </c>
      <c r="C68" s="7" t="s">
        <v>30</v>
      </c>
      <c r="D68" s="7" t="s">
        <v>134</v>
      </c>
    </row>
    <row r="69" customFormat="false" ht="15" hidden="false" customHeight="false" outlineLevel="0" collapsed="false">
      <c r="A69" s="5" t="s">
        <v>135</v>
      </c>
      <c r="B69" s="13" t="n">
        <f aca="false">B67*B68</f>
        <v>4</v>
      </c>
      <c r="C69" s="7" t="s">
        <v>136</v>
      </c>
      <c r="D69" s="7" t="s">
        <v>137</v>
      </c>
    </row>
    <row r="70" customFormat="false" ht="15" hidden="false" customHeight="false" outlineLevel="0" collapsed="false">
      <c r="A70" s="5" t="s">
        <v>138</v>
      </c>
      <c r="B70" s="13" t="n">
        <f aca="false">IF(B28="Yes",3,0)</f>
        <v>3</v>
      </c>
      <c r="C70" s="7" t="s">
        <v>136</v>
      </c>
      <c r="D70" s="7" t="s">
        <v>139</v>
      </c>
    </row>
    <row r="71" customFormat="false" ht="15" hidden="false" customHeight="false" outlineLevel="0" collapsed="false">
      <c r="A71" s="5" t="s">
        <v>140</v>
      </c>
      <c r="B71" s="11" t="n">
        <f aca="false">B69+B70</f>
        <v>7</v>
      </c>
      <c r="C71" s="7" t="s">
        <v>136</v>
      </c>
      <c r="D71" s="7" t="s">
        <v>141</v>
      </c>
    </row>
    <row r="72" customFormat="false" ht="15" hidden="false" customHeight="false" outlineLevel="0" collapsed="false">
      <c r="A72" s="5" t="s">
        <v>142</v>
      </c>
      <c r="B72" s="13" t="n">
        <f aca="false">B25</f>
        <v>256</v>
      </c>
      <c r="C72" s="7" t="s">
        <v>43</v>
      </c>
      <c r="D72" s="7" t="s">
        <v>143</v>
      </c>
    </row>
    <row r="73" customFormat="false" ht="15" hidden="false" customHeight="false" outlineLevel="0" collapsed="false">
      <c r="A73" s="5" t="s">
        <v>144</v>
      </c>
      <c r="B73" s="13" t="n">
        <f aca="false">B26</f>
        <v>64</v>
      </c>
      <c r="C73" s="7" t="s">
        <v>60</v>
      </c>
      <c r="D73" s="7" t="s">
        <v>145</v>
      </c>
    </row>
    <row r="74" customFormat="false" ht="15" hidden="false" customHeight="false" outlineLevel="0" collapsed="false">
      <c r="A74" s="5" t="s">
        <v>146</v>
      </c>
      <c r="B74" s="13" t="n">
        <f aca="false">B59</f>
        <v>24000</v>
      </c>
      <c r="C74" s="7" t="s">
        <v>43</v>
      </c>
      <c r="D74" s="7" t="s">
        <v>147</v>
      </c>
    </row>
    <row r="75" customFormat="false" ht="15" hidden="false" customHeight="false" outlineLevel="0" collapsed="false">
      <c r="A75" s="5" t="s">
        <v>148</v>
      </c>
      <c r="B75" s="11" t="n">
        <f aca="false">B69*B26</f>
        <v>256</v>
      </c>
      <c r="C75" s="7" t="s">
        <v>60</v>
      </c>
      <c r="D75" s="7" t="s">
        <v>149</v>
      </c>
    </row>
    <row r="76" customFormat="false" ht="15" hidden="false" customHeight="false" outlineLevel="0" collapsed="false">
      <c r="A76" s="5" t="s">
        <v>150</v>
      </c>
      <c r="B76" s="11" t="n">
        <f aca="false">B69*B25</f>
        <v>1024</v>
      </c>
      <c r="C76" s="7" t="s">
        <v>43</v>
      </c>
      <c r="D76" s="7" t="s">
        <v>151</v>
      </c>
    </row>
    <row r="77" customFormat="false" ht="15" hidden="false" customHeight="false" outlineLevel="0" collapsed="false">
      <c r="A77" s="5" t="s">
        <v>152</v>
      </c>
      <c r="B77" s="11" t="n">
        <f aca="false">B69*B59</f>
        <v>96000</v>
      </c>
      <c r="C77" s="7" t="s">
        <v>43</v>
      </c>
      <c r="D77" s="7" t="s">
        <v>153</v>
      </c>
    </row>
    <row r="78" customFormat="false" ht="15" hidden="false" customHeight="false" outlineLevel="0" collapsed="false">
      <c r="A78" s="5" t="s">
        <v>87</v>
      </c>
      <c r="B78" s="11" t="n">
        <f aca="false">B40</f>
        <v>81000</v>
      </c>
      <c r="C78" s="7" t="s">
        <v>43</v>
      </c>
      <c r="D78" s="7" t="s">
        <v>154</v>
      </c>
    </row>
    <row r="79" customFormat="false" ht="15" hidden="false" customHeight="false" outlineLevel="0" collapsed="false">
      <c r="A79" s="5" t="s">
        <v>155</v>
      </c>
      <c r="B79" s="12" t="n">
        <f aca="false">B10</f>
        <v>10</v>
      </c>
      <c r="C79" s="7" t="s">
        <v>20</v>
      </c>
      <c r="D79" s="7" t="s">
        <v>156</v>
      </c>
    </row>
    <row r="80" customFormat="false" ht="15" hidden="false" customHeight="false" outlineLevel="0" collapsed="false">
      <c r="A80" s="3" t="s">
        <v>157</v>
      </c>
      <c r="B80" s="3"/>
      <c r="C80" s="3"/>
      <c r="D80" s="3"/>
    </row>
    <row r="81" customFormat="false" ht="15" hidden="false" customHeight="false" outlineLevel="0" collapsed="false">
      <c r="A81" s="4" t="s">
        <v>3</v>
      </c>
      <c r="B81" s="4" t="s">
        <v>4</v>
      </c>
      <c r="C81" s="4" t="s">
        <v>5</v>
      </c>
      <c r="D81" s="4" t="s">
        <v>6</v>
      </c>
    </row>
    <row r="82" customFormat="false" ht="15" hidden="false" customHeight="false" outlineLevel="0" collapsed="false">
      <c r="A82" s="5" t="s">
        <v>158</v>
      </c>
      <c r="B82" s="14" t="s">
        <v>159</v>
      </c>
      <c r="D82" s="7" t="s">
        <v>160</v>
      </c>
    </row>
    <row r="83" customFormat="false" ht="15" hidden="false" customHeight="false" outlineLevel="0" collapsed="false">
      <c r="A83" s="5" t="s">
        <v>161</v>
      </c>
      <c r="B83" s="14" t="s">
        <v>162</v>
      </c>
      <c r="D83" s="7" t="s">
        <v>163</v>
      </c>
    </row>
    <row r="84" customFormat="false" ht="15" hidden="false" customHeight="false" outlineLevel="0" collapsed="false">
      <c r="A84" s="5" t="s">
        <v>164</v>
      </c>
      <c r="B84" s="14" t="s">
        <v>165</v>
      </c>
      <c r="D84" s="7" t="s">
        <v>166</v>
      </c>
    </row>
    <row r="85" customFormat="false" ht="15" hidden="false" customHeight="false" outlineLevel="0" collapsed="false">
      <c r="A85" s="5" t="s">
        <v>167</v>
      </c>
      <c r="B85" s="11" t="n">
        <v>8192</v>
      </c>
      <c r="C85" s="7" t="s">
        <v>168</v>
      </c>
      <c r="D85" s="7" t="s">
        <v>169</v>
      </c>
    </row>
    <row r="86" customFormat="false" ht="15" hidden="false" customHeight="false" outlineLevel="0" collapsed="false">
      <c r="A86" s="5" t="s">
        <v>170</v>
      </c>
      <c r="B86" s="11" t="n">
        <f aca="false">B12</f>
        <v>30</v>
      </c>
      <c r="C86" s="7" t="s">
        <v>25</v>
      </c>
      <c r="D86" s="7" t="s">
        <v>171</v>
      </c>
    </row>
    <row r="87" customFormat="false" ht="15" hidden="false" customHeight="false" outlineLevel="0" collapsed="false">
      <c r="A87" s="5" t="s">
        <v>172</v>
      </c>
      <c r="B87" s="11" t="n">
        <f aca="false">B12+B13</f>
        <v>210</v>
      </c>
      <c r="C87" s="7" t="s">
        <v>25</v>
      </c>
      <c r="D87" s="7" t="s">
        <v>173</v>
      </c>
    </row>
    <row r="88" customFormat="false" ht="15" hidden="false" customHeight="false" outlineLevel="0" collapsed="false">
      <c r="A88" s="5" t="s">
        <v>174</v>
      </c>
      <c r="B88" s="14" t="s">
        <v>175</v>
      </c>
      <c r="D88" s="7" t="s">
        <v>176</v>
      </c>
    </row>
    <row r="89" customFormat="false" ht="15" hidden="false" customHeight="false" outlineLevel="0" collapsed="false">
      <c r="A89" s="5" t="s">
        <v>177</v>
      </c>
      <c r="B89" s="14" t="s">
        <v>178</v>
      </c>
      <c r="D89" s="7" t="s">
        <v>179</v>
      </c>
    </row>
    <row r="90" customFormat="false" ht="15" hidden="false" customHeight="false" outlineLevel="0" collapsed="false">
      <c r="A90" s="5" t="s">
        <v>180</v>
      </c>
      <c r="B90" s="14" t="s">
        <v>181</v>
      </c>
      <c r="D90" s="7" t="s">
        <v>182</v>
      </c>
    </row>
    <row r="91" customFormat="false" ht="15" hidden="false" customHeight="false" outlineLevel="0" collapsed="false">
      <c r="A91" s="5" t="s">
        <v>183</v>
      </c>
      <c r="B91" s="14" t="s">
        <v>184</v>
      </c>
      <c r="D91" s="7" t="s">
        <v>185</v>
      </c>
    </row>
    <row r="92" customFormat="false" ht="15" hidden="false" customHeight="false" outlineLevel="0" collapsed="false">
      <c r="A92" s="5" t="s">
        <v>186</v>
      </c>
      <c r="B92" s="11" t="n">
        <v>100000</v>
      </c>
      <c r="C92" s="7" t="s">
        <v>168</v>
      </c>
      <c r="D92" s="7" t="s">
        <v>187</v>
      </c>
    </row>
    <row r="93" customFormat="false" ht="15" hidden="false" customHeight="false" outlineLevel="0" collapsed="false">
      <c r="A93" s="5" t="s">
        <v>188</v>
      </c>
      <c r="B93" s="11" t="n">
        <v>3000</v>
      </c>
      <c r="C93" s="7" t="s">
        <v>189</v>
      </c>
      <c r="D93" s="7" t="s">
        <v>190</v>
      </c>
    </row>
    <row r="94" customFormat="false" ht="15" hidden="false" customHeight="false" outlineLevel="0" collapsed="false">
      <c r="A94" s="5" t="s">
        <v>191</v>
      </c>
      <c r="B94" s="12" t="n">
        <v>0.9</v>
      </c>
      <c r="D94" s="7" t="s">
        <v>192</v>
      </c>
    </row>
    <row r="95" customFormat="false" ht="15" hidden="false" customHeight="false" outlineLevel="0" collapsed="false">
      <c r="A95" s="5" t="s">
        <v>193</v>
      </c>
      <c r="B95" s="11" t="n">
        <f aca="false">MAX(100,ROUNDUP(B18*1.5,0))</f>
        <v>100</v>
      </c>
      <c r="C95" s="7" t="s">
        <v>40</v>
      </c>
      <c r="D95" s="7" t="s">
        <v>194</v>
      </c>
    </row>
    <row r="96" customFormat="false" ht="15" hidden="false" customHeight="false" outlineLevel="0" collapsed="false">
      <c r="A96" s="5" t="s">
        <v>195</v>
      </c>
      <c r="B96" s="11" t="n">
        <f aca="false">MAX(16,ROUNDUP(B73/2,0))</f>
        <v>32</v>
      </c>
      <c r="C96" s="7" t="s">
        <v>196</v>
      </c>
      <c r="D96" s="7" t="s">
        <v>197</v>
      </c>
    </row>
    <row r="97" customFormat="false" ht="15" hidden="false" customHeight="false" outlineLevel="0" collapsed="false">
      <c r="A97" s="5" t="s">
        <v>198</v>
      </c>
      <c r="B97" s="14" t="s">
        <v>199</v>
      </c>
      <c r="D97" s="7" t="s">
        <v>200</v>
      </c>
    </row>
    <row r="98" customFormat="false" ht="15" hidden="false" customHeight="false" outlineLevel="0" collapsed="false">
      <c r="A98" s="5" t="s">
        <v>201</v>
      </c>
      <c r="B98" s="14" t="s">
        <v>202</v>
      </c>
      <c r="D98" s="7" t="s">
        <v>203</v>
      </c>
    </row>
    <row r="99" customFormat="false" ht="15" hidden="false" customHeight="false" outlineLevel="0" collapsed="false">
      <c r="A99" s="5" t="s">
        <v>204</v>
      </c>
      <c r="B99" s="14" t="s">
        <v>205</v>
      </c>
      <c r="D99" s="7" t="s">
        <v>206</v>
      </c>
    </row>
    <row r="100" customFormat="false" ht="15" hidden="false" customHeight="false" outlineLevel="0" collapsed="false">
      <c r="A100" s="5" t="s">
        <v>207</v>
      </c>
      <c r="B100" s="14" t="str">
        <f aca="false">IF(B28="Yes","ClickHouse Keeper - 3-node ensemble","External ZooKeeper / Keeper")</f>
        <v>ClickHouse Keeper - 3-node ensemble</v>
      </c>
      <c r="D100" s="7" t="s">
        <v>208</v>
      </c>
    </row>
    <row r="101" customFormat="false" ht="15" hidden="false" customHeight="false" outlineLevel="0" collapsed="false">
      <c r="A101" s="5" t="s">
        <v>209</v>
      </c>
      <c r="B101" s="14" t="s">
        <v>210</v>
      </c>
      <c r="D101" s="7" t="s">
        <v>211</v>
      </c>
    </row>
    <row r="102" customFormat="false" ht="15" hidden="false" customHeight="false" outlineLevel="0" collapsed="false">
      <c r="A102" s="5" t="s">
        <v>212</v>
      </c>
      <c r="B102" s="14" t="s">
        <v>213</v>
      </c>
      <c r="D102" s="7" t="s">
        <v>214</v>
      </c>
    </row>
    <row r="103" customFormat="false" ht="15" hidden="false" customHeight="false" outlineLevel="0" collapsed="false">
      <c r="A103" s="3" t="s">
        <v>215</v>
      </c>
      <c r="B103" s="3"/>
      <c r="C103" s="3"/>
      <c r="D103" s="3"/>
    </row>
    <row r="104" customFormat="false" ht="15" hidden="false" customHeight="false" outlineLevel="0" collapsed="false">
      <c r="A104" s="15" t="s">
        <v>216</v>
      </c>
      <c r="B104" s="15"/>
      <c r="C104" s="15"/>
      <c r="D104" s="15"/>
    </row>
    <row r="105" customFormat="false" ht="15" hidden="false" customHeight="false" outlineLevel="0" collapsed="false">
      <c r="A105" s="15" t="s">
        <v>217</v>
      </c>
      <c r="B105" s="15"/>
      <c r="C105" s="15"/>
      <c r="D105" s="15"/>
    </row>
    <row r="106" customFormat="false" ht="15" hidden="false" customHeight="false" outlineLevel="0" collapsed="false">
      <c r="A106" s="15" t="s">
        <v>218</v>
      </c>
      <c r="B106" s="15"/>
      <c r="C106" s="15"/>
      <c r="D106" s="15"/>
    </row>
    <row r="107" customFormat="false" ht="15" hidden="false" customHeight="false" outlineLevel="0" collapsed="false">
      <c r="A107" s="15" t="s">
        <v>219</v>
      </c>
      <c r="B107" s="15"/>
      <c r="C107" s="15"/>
      <c r="D107" s="15"/>
    </row>
    <row r="108" customFormat="false" ht="15" hidden="false" customHeight="false" outlineLevel="0" collapsed="false">
      <c r="A108" s="15" t="s">
        <v>220</v>
      </c>
      <c r="B108" s="15"/>
      <c r="C108" s="15"/>
      <c r="D108" s="15"/>
    </row>
    <row r="109" customFormat="false" ht="15" hidden="false" customHeight="false" outlineLevel="0" collapsed="false">
      <c r="A109" s="15" t="s">
        <v>221</v>
      </c>
      <c r="B109" s="15"/>
      <c r="C109" s="15"/>
      <c r="D109" s="15"/>
    </row>
    <row r="110" customFormat="false" ht="15" hidden="false" customHeight="false" outlineLevel="0" collapsed="false">
      <c r="A110" s="15" t="s">
        <v>222</v>
      </c>
      <c r="B110" s="15"/>
      <c r="C110" s="15"/>
      <c r="D110" s="15"/>
    </row>
    <row r="111" customFormat="false" ht="15" hidden="false" customHeight="false" outlineLevel="0" collapsed="false">
      <c r="A111" s="15" t="s">
        <v>223</v>
      </c>
      <c r="B111" s="15"/>
      <c r="C111" s="15"/>
      <c r="D111" s="15"/>
    </row>
    <row r="112" customFormat="false" ht="15" hidden="false" customHeight="false" outlineLevel="0" collapsed="false">
      <c r="A112" s="15" t="s">
        <v>224</v>
      </c>
      <c r="B112" s="15"/>
      <c r="C112" s="15"/>
      <c r="D112" s="15"/>
    </row>
  </sheetData>
  <mergeCells count="19">
    <mergeCell ref="A1:D1"/>
    <mergeCell ref="A2:D2"/>
    <mergeCell ref="A4:D4"/>
    <mergeCell ref="A29:D29"/>
    <mergeCell ref="A43:D43"/>
    <mergeCell ref="A50:D50"/>
    <mergeCell ref="A56:D56"/>
    <mergeCell ref="A65:D65"/>
    <mergeCell ref="A80:D80"/>
    <mergeCell ref="A103:D103"/>
    <mergeCell ref="A104:D104"/>
    <mergeCell ref="A105:D105"/>
    <mergeCell ref="A106:D106"/>
    <mergeCell ref="A107:D107"/>
    <mergeCell ref="A108:D108"/>
    <mergeCell ref="A109:D109"/>
    <mergeCell ref="A110:D110"/>
    <mergeCell ref="A111:D111"/>
    <mergeCell ref="A112:D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2026-07-18T07:58:37Z</dcterms:created>
  <dc:creator>openpyxl</dc:creator>
  <dc:description/>
  <dc:language>en-US</dc:language>
  <cp:lastModifiedBy/>
  <dcterms:modified xsi:type="dcterms:W3CDTF">2026-07-18T07:58:37Z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