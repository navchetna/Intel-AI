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0_Key_Params" sheetId="2" state="visible" r:id="rId4"/>
    <sheet name="1_Silicon_Board" sheetId="3" state="visible" r:id="rId5"/>
    <sheet name="2_Compute" sheetId="4" state="visible" r:id="rId6"/>
    <sheet name="3_Memory" sheetId="5" state="visible" r:id="rId7"/>
    <sheet name="4_Roofline" sheetId="6" state="visible" r:id="rId8"/>
    <sheet name="5_Model_Fit" sheetId="7" state="visible" r:id="rId9"/>
    <sheet name="6_Interconnect" sheetId="8" state="visible" r:id="rId10"/>
    <sheet name="7_Software" sheetId="9" state="visible" r:id="rId11"/>
    <sheet name="8_Xeon6_Host" sheetId="10" state="visible" r:id="rId12"/>
    <sheet name="9_Workload_Fit" sheetId="11" state="visible" r:id="rId13"/>
    <sheet name="Open_Questions" sheetId="12" state="visible" r:id="rId14"/>
    <sheet name="Sources" sheetId="13" state="visible" r:id="rId15"/>
    <sheet name="Planner_YAML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<sst xmlns="http://schemas.openxmlformats.org/spreadsheetml/2006/main" count="558" uniqueCount="367">
  <si>
    <t xml:space="preserve">NVIDIA H200 NVL — Technical Reference</t>
  </si>
  <si>
    <t xml:space="preserve">Hopper GH100 PCIe card with NVLink bridges · Announced SC24 (18 Nov 2024)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</si>
  <si>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</si>
  <si>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</si>
  <si>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</si>
  <si>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</si>
  <si>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Tier (this library)</t>
  </si>
  <si>
    <t xml:space="preserve">Mid-range (HBM + NVLink option)</t>
  </si>
  <si>
    <t xml:space="preserve">[D]</t>
  </si>
  <si>
    <t xml:space="preserve">Product status</t>
  </si>
  <si>
    <t xml:space="preserve">Shipping (previous architecture)</t>
  </si>
  <si>
    <t xml:space="preserve">[I]</t>
  </si>
  <si>
    <t xml:space="preserve">Companion files</t>
  </si>
  <si>
    <t xml:space="preserve">&lt;OEM&gt;_H200-NVL.xlsx system workbooks; NVIDIA_Enterprise_GPU_Index.xlsx; Intel_Xeon6_Workload_SKU_Recommendations.xlsx rows 71-86</t>
  </si>
  <si>
    <t xml:space="preserve">X5</t>
  </si>
  <si>
    <t xml:space="preserve">Scope</t>
  </si>
  <si>
    <t xml:space="preserve">Single-GPU and 8-GPU node level; agentic / LLM inference serving</t>
  </si>
  <si>
    <t xml:space="preserve">POSITIONING IN ONE PARAGRAPH</t>
  </si>
  <si>
    <t xml:space="preserve">The only mid-tier PCIe part with HBM and an NVLink fabric: 141 GB HBM3e at 4.8 TB/s — 3× the RTX PRO 6000's bandwidth — and 2- or 4-way NVLink bridges at 900 GB/s, bundled with a 5-year NVIDIA AI Enterprise subscription. It is previous-generation Hopper silicon: no FP4, and dense FP8 roughly equal to an RTX PRO 6000.</t>
  </si>
  <si>
    <t xml:space="preserve">READ THIS BEFORE QUOTING ANY NUMBER</t>
  </si>
  <si>
    <t xml:space="preserve">The NVL card's compute figures are lower than H200 SXM (600 W vs 700 W clocks). Several spec aggregators print SXM numbers against the NVL. Values here use the NVL column (via [3P] citing NVIDIA's SC24 datasheet); verify against the current NVIDIA H200 datasheet.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</si>
  <si>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</si>
  <si>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</si>
  <si>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</si>
  <si>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</si>
  <si>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</si>
  <si>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</si>
  <si>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</si>
  <si>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</si>
  <si>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</si>
  <si>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</si>
  <si>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</si>
  <si>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</si>
  <si>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</si>
  <si>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</si>
  <si>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</si>
  <si>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</si>
  <si>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</si>
  <si>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</si>
  <si>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</si>
  <si>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</si>
  <si>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</si>
  <si>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Key planning parameters</t>
  </si>
  <si>
    <t xml:space="preserve">Blue cells on yellow are inputs. Every other sheet references these cells - change once, everything follows.</t>
  </si>
  <si>
    <t xml:space="preserve">Parameter</t>
  </si>
  <si>
    <t xml:space="preserve">Src</t>
  </si>
  <si>
    <t xml:space="preserve">Note</t>
  </si>
  <si>
    <t xml:space="preserve">Board / module power (W)</t>
  </si>
  <si>
    <t xml:space="preserve">TDP_W</t>
  </si>
  <si>
    <t xml:space="preserve">GPU memory, planning capacity (GB)</t>
  </si>
  <si>
    <t xml:space="preserve">MEM_GB</t>
  </si>
  <si>
    <t xml:space="preserve">Peak memory bandwidth (GB/s)</t>
  </si>
  <si>
    <t xml:space="preserve">BW_GBS</t>
  </si>
  <si>
    <t xml:space="preserve">FP4 native (1 = yes, 0 = no)</t>
  </si>
  <si>
    <t xml:space="preserve">FP4_NATIVE</t>
  </si>
  <si>
    <t xml:space="preserve">FP8 native (1 = yes, 0 = no)</t>
  </si>
  <si>
    <t xml:space="preserve">FP8_NATIVE</t>
  </si>
  <si>
    <t xml:space="preserve">GPUs per node (planning default)</t>
  </si>
  <si>
    <t xml:space="preserve">GPN</t>
  </si>
  <si>
    <t xml:space="preserve">Host PCIe generation</t>
  </si>
  <si>
    <t xml:space="preserve">PCIE_GEN</t>
  </si>
  <si>
    <t xml:space="preserve">NVLink GPU-GPU bandwidth (GB/s, 0 = none)</t>
  </si>
  <si>
    <t xml:space="preserve">NVLINK_GBS</t>
  </si>
  <si>
    <t xml:space="preserve">Reserved non-weight, non-KV memory per GPU (GB)</t>
  </si>
  <si>
    <t xml:space="preserve">Activations, CUDA graphs, fragmentation (Crescent ref used 20 GB/card)</t>
  </si>
  <si>
    <t xml:space="preserve">Free-memory headroom rule for model fit</t>
  </si>
  <si>
    <t xml:space="preserve">Highest precision leaving ≥15% free (same rule as companion refs)</t>
  </si>
  <si>
    <t xml:space="preserve">1 · Silicon and board</t>
  </si>
  <si>
    <t xml:space="preserve">NVIDIA H200 NVL</t>
  </si>
  <si>
    <t xml:space="preserve">GPU architecture</t>
  </si>
  <si>
    <t xml:space="preserve">NVIDIA Hopper (GH100), same die as H100/H200 SXM</t>
  </si>
  <si>
    <t xml:space="preserve">N5</t>
  </si>
  <si>
    <t xml:space="preserve">Max TDP</t>
  </si>
  <si>
    <t xml:space="preserve">Up to 600 W (configurable; down to 450 W)</t>
  </si>
  <si>
    <t xml:space="preserve">N6</t>
  </si>
  <si>
    <t xml:space="preserve">450 W floor [3P P1]</t>
  </si>
  <si>
    <t xml:space="preserve">Form factor</t>
  </si>
  <si>
    <t xml:space="preserve">PCIe dual-slot, air-cooled</t>
  </si>
  <si>
    <t xml:space="preserve">N6, L4</t>
  </si>
  <si>
    <t xml:space="preserve">Host interface</t>
  </si>
  <si>
    <t xml:space="preserve">PCIe Gen5, 128 GB/s (bidirectional)</t>
  </si>
  <si>
    <t xml:space="preserve">NVLink</t>
  </si>
  <si>
    <t xml:space="preserve">2-way or 4-way NVLink bridge, 900 GB/s</t>
  </si>
  <si>
    <t xml:space="preserve">HPE parts S4A90C (2-way), S4A91C (4-way) [3P H5]</t>
  </si>
  <si>
    <t xml:space="preserve">Multi-Instance GPU</t>
  </si>
  <si>
    <t xml:space="preserve">Up to 7 MIGs @ 16.5 GB (other listings: 18 GB)</t>
  </si>
  <si>
    <t xml:space="preserve">P2</t>
  </si>
  <si>
    <t xml:space="preserve">Conflict - see Open Questions</t>
  </si>
  <si>
    <t xml:space="preserve">Decoders</t>
  </si>
  <si>
    <t xml:space="preserve">7× NVDEC, 7× JPEG</t>
  </si>
  <si>
    <t xml:space="preserve">No NVENC</t>
  </si>
  <si>
    <t xml:space="preserve">Confidential computing</t>
  </si>
  <si>
    <t xml:space="preserve">Supported</t>
  </si>
  <si>
    <t xml:space="preserve">NVIDIA AI Enterprise</t>
  </si>
  <si>
    <t xml:space="preserve">Included - 5-year subscription</t>
  </si>
  <si>
    <t xml:space="preserve">Material TCO difference vs RTX PRO 6000</t>
  </si>
  <si>
    <t xml:space="preserve">Server options</t>
  </si>
  <si>
    <t xml:space="preserve">NVIDIA MGX H200 NVL partner &amp; NVIDIA-Certified Systems, up to 8 GPUs</t>
  </si>
  <si>
    <t xml:space="preserve">Claimed uplift</t>
  </si>
  <si>
    <t xml:space="preserve">Up to 1.7× LLM inference, 1.3× HPC vs H100 NVL</t>
  </si>
  <si>
    <t xml:space="preserve">2 · Compute throughput by data type (per GPU)</t>
  </si>
  <si>
    <t xml:space="preserve">Dense column is a live formula: = published ÷ 2 where NVIDIA's convention is sparse. Perf/W divides dense by board power on 0_Key_Params.</t>
  </si>
  <si>
    <t xml:space="preserve">Data type</t>
  </si>
  <si>
    <t xml:space="preserve">Engine</t>
  </si>
  <si>
    <t xml:space="preserve">Published</t>
  </si>
  <si>
    <t xml:space="preserve">Unit</t>
  </si>
  <si>
    <t xml:space="preserve">Convention</t>
  </si>
  <si>
    <t xml:space="preserve">Dense (planning)</t>
  </si>
  <si>
    <t xml:space="preserve">Dense per W</t>
  </si>
  <si>
    <t xml:space="preserve">FP4</t>
  </si>
  <si>
    <t xml:space="preserve">Tensor</t>
  </si>
  <si>
    <t xml:space="preserve">not published</t>
  </si>
  <si>
    <t xml:space="preserve">TFLOPS</t>
  </si>
  <si>
    <t xml:space="preserve">n/a</t>
  </si>
  <si>
    <t xml:space="preserve">Hopper has no FP4 (weight-only FP4 needs software dequant)</t>
  </si>
  <si>
    <t xml:space="preserve">FP8</t>
  </si>
  <si>
    <t xml:space="preserve">Sparse</t>
  </si>
  <si>
    <t xml:space="preserve">P1</t>
  </si>
  <si>
    <t xml:space="preserve">Lenovo LP1944 lists 1,570 dense - 6% below ½ × 3,341</t>
  </si>
  <si>
    <t xml:space="preserve">INT8</t>
  </si>
  <si>
    <t xml:space="preserve">TOPS</t>
  </si>
  <si>
    <t xml:space="preserve">FP16 / BF16</t>
  </si>
  <si>
    <t xml:space="preserve">TF32</t>
  </si>
  <si>
    <t xml:space="preserve">Derived: ½ × BF16 sparse (Hopper ladder)</t>
  </si>
  <si>
    <t xml:space="preserve">FP32</t>
  </si>
  <si>
    <t xml:space="preserve">CUDA</t>
  </si>
  <si>
    <t xml:space="preserve">Dense</t>
  </si>
  <si>
    <t xml:space="preserve">SXM: 67</t>
  </si>
  <si>
    <t xml:space="preserve">FP64 Tensor</t>
  </si>
  <si>
    <t xml:space="preserve">Genuine HPC-capable FP64</t>
  </si>
  <si>
    <t xml:space="preserve">FP64</t>
  </si>
  <si>
    <t xml:space="preserve">Dense per W is TFLOPS (or TOPS) per board watt at the published maximum power, not measured efficiency.</t>
  </si>
  <si>
    <t xml:space="preserve">3 · Memory</t>
  </si>
  <si>
    <t xml:space="preserve">Sweeps/s = bandwidth ÷ capacity: how many times per second the GPU can read its whole memory - the ceiling on dense-model decode.</t>
  </si>
  <si>
    <t xml:space="preserve">Capacity / type</t>
  </si>
  <si>
    <t xml:space="preserve">141 GB HBM3e</t>
  </si>
  <si>
    <t xml:space="preserve">Peak bandwidth</t>
  </si>
  <si>
    <t xml:space="preserve">4.8 TB/s</t>
  </si>
  <si>
    <t xml:space="preserve">4-way NVLink domain</t>
  </si>
  <si>
    <t xml:space="preserve">564 GB pooled at 900 GB/s GPU-GPU [D] = 4 × 141</t>
  </si>
  <si>
    <t xml:space="preserve">vs RTX PRO 6000</t>
  </si>
  <si>
    <t xml:space="preserve">1.47× capacity, 3.0× bandwidth</t>
  </si>
  <si>
    <t xml:space="preserve">N2, N6</t>
  </si>
  <si>
    <t xml:space="preserve">Derived ratios (live)</t>
  </si>
  <si>
    <t xml:space="preserve">Metric</t>
  </si>
  <si>
    <t xml:space="preserve">Formula basis</t>
  </si>
  <si>
    <t xml:space="preserve">Sweeps per second</t>
  </si>
  <si>
    <t xml:space="preserve">1/s</t>
  </si>
  <si>
    <t xml:space="preserve">BW ÷ capacity</t>
  </si>
  <si>
    <t xml:space="preserve">Bandwidth per board watt</t>
  </si>
  <si>
    <t xml:space="preserve">GB/s/W</t>
  </si>
  <si>
    <t xml:space="preserve">BW ÷ TDP</t>
  </si>
  <si>
    <t xml:space="preserve">Capacity per board watt</t>
  </si>
  <si>
    <t xml:space="preserve">GB/W</t>
  </si>
  <si>
    <t xml:space="preserve">Capacity ÷ TDP</t>
  </si>
  <si>
    <t xml:space="preserve">Node GPU memory at planning GPU count</t>
  </si>
  <si>
    <t xml:space="preserve">GB</t>
  </si>
  <si>
    <t xml:space="preserve">capacity × GPUs/node</t>
  </si>
  <si>
    <t xml:space="preserve">Bandwidth-to-capacity balance vs the field (nominal published specs; ratio context only)</t>
  </si>
  <si>
    <t xml:space="preserve">Part</t>
  </si>
  <si>
    <t xml:space="preserve">Capacity (GB)</t>
  </si>
  <si>
    <t xml:space="preserve">Bandwidth (GB/s)</t>
  </si>
  <si>
    <t xml:space="preserve">Sweeps/s</t>
  </si>
  <si>
    <t xml:space="preserve">NVIDIA L4</t>
  </si>
  <si>
    <t xml:space="preserve">N4</t>
  </si>
  <si>
    <t xml:space="preserve">NVIDIA RTX PRO 4500 BSE</t>
  </si>
  <si>
    <t xml:space="preserve">N1</t>
  </si>
  <si>
    <t xml:space="preserve">Intel Arc Pro B70</t>
  </si>
  <si>
    <t xml:space="preserve">X6</t>
  </si>
  <si>
    <t xml:space="preserve">NVIDIA RTX PRO 6000 BSE</t>
  </si>
  <si>
    <t xml:space="preserve">N2</t>
  </si>
  <si>
    <t xml:space="preserve">Intel Crescent Island 160 GB (M1, derived)</t>
  </si>
  <si>
    <t xml:space="preserve">X4</t>
  </si>
  <si>
    <t xml:space="preserve">NVIDIA B200 (HGX)</t>
  </si>
  <si>
    <t xml:space="preserve">P3</t>
  </si>
  <si>
    <t xml:space="preserve">NVIDIA B300 (HGX, Lenovo 288 GB / 7.7 TB/s)</t>
  </si>
  <si>
    <t xml:space="preserve">L1</t>
  </si>
  <si>
    <t xml:space="preserve">4 · Roofline balance</t>
  </si>
  <si>
    <t xml:space="preserve">Ridge point = dense peak compute ÷ peak bandwidth. Batch-1 decode sits near 1-2 op/B, so it is always memory-bound; batching moves toward the ridge.</t>
  </si>
  <si>
    <t xml:space="preserve">Precision</t>
  </si>
  <si>
    <t xml:space="preserve">Dense TFLOPS/TOPS</t>
  </si>
  <si>
    <t xml:space="preserve">Ridge (op/byte)</t>
  </si>
  <si>
    <t xml:space="preserve">Reading</t>
  </si>
  <si>
    <t xml:space="preserve">BF16 / FP16</t>
  </si>
  <si>
    <t xml:space="preserve">Concurrency (batch) of roughly this order is needed to become compute-bound</t>
  </si>
  <si>
    <t xml:space="preserve">FP4 / NVFP4</t>
  </si>
  <si>
    <t xml:space="preserve">Precision not native on this part</t>
  </si>
  <si>
    <t xml:space="preserve">Batch-1 decode ceiling (weight-bound): tokens/s ≈ bandwidth ÷ active weight bytes per token. Real-world figures land ~40-70% of this. See 5_Model_Fit.</t>
  </si>
  <si>
    <t xml:space="preserve">5 · Model fit, decode ceilings and KV pool</t>
  </si>
  <si>
    <t xml:space="preserve">Parameters carried from the Crescent Island companion (§8) so all references size the same models identically. Blue cells are editable.</t>
  </si>
  <si>
    <t xml:space="preserve">Bytes/param inputs →</t>
  </si>
  <si>
    <t xml:space="preserve">BF16</t>
  </si>
  <si>
    <t xml:space="preserve">MXFP4/NVFP4 incl. scale metadata [D]</t>
  </si>
  <si>
    <t xml:space="preserve">Model</t>
  </si>
  <si>
    <t xml:space="preserve">Arch</t>
  </si>
  <si>
    <t xml:space="preserve">Total (B)</t>
  </si>
  <si>
    <t xml:space="preserve">Active (B)</t>
  </si>
  <si>
    <t xml:space="preserve">BF16 GB</t>
  </si>
  <si>
    <t xml:space="preserve">FP8 GB</t>
  </si>
  <si>
    <t xml:space="preserve">FP4 GB</t>
  </si>
  <si>
    <t xml:space="preserve">Fit ×1</t>
  </si>
  <si>
    <t xml:space="preserve">Fit ×2</t>
  </si>
  <si>
    <t xml:space="preserve">Fit ×4</t>
  </si>
  <si>
    <t xml:space="preserve">Fit ×8</t>
  </si>
  <si>
    <t xml:space="preserve">Tok/s ceiling FP8 (1 GPU BW)</t>
  </si>
  <si>
    <t xml:space="preserve">Tok/s ceiling FP4 (1 GPU BW)</t>
  </si>
  <si>
    <t xml:space="preserve">KV KB/token (FP8)</t>
  </si>
  <si>
    <t xml:space="preserve">KV pool tokens @ node</t>
  </si>
  <si>
    <t xml:space="preserve">GPU count for each Fit column →</t>
  </si>
  <si>
    <t xml:space="preserve">Llama 3.1 8B</t>
  </si>
  <si>
    <t xml:space="preserve">Qwen3 32B</t>
  </si>
  <si>
    <t xml:space="preserve">Llama 3.3 70B</t>
  </si>
  <si>
    <t xml:space="preserve">gpt-oss-120b</t>
  </si>
  <si>
    <t xml:space="preserve">MoE</t>
  </si>
  <si>
    <t xml:space="preserve">Qwen3 235B-A22B</t>
  </si>
  <si>
    <t xml:space="preserve">Llama 3.1 405B</t>
  </si>
  <si>
    <t xml:space="preserve">DeepSeek-V3 / R1 671B</t>
  </si>
  <si>
    <t xml:space="preserve">MoE (MLA)</t>
  </si>
  <si>
    <t xml:space="preserve">Kimi K2 1T-A32B</t>
  </si>
  <si>
    <t xml:space="preserve">Fit cell = highest precision whose weights leave ≥ headroom % of pooled GPU memory free (tensor/pipeline parallel, no replication). '—' = no native precision fits. FP4 is only offered where FP4_NATIVE = 1. Decode ceilings are single-GPU bandwidth bounds that ignore KV traffic and kernel efficiency; with TP=N the ideal ceiling scales ~N×. KV pool = (GPUs × capacity − FP8 weights − GPUs × reserve) ÷ KV bytes/token, aggregate across all concurrent sequences.</t>
  </si>
  <si>
    <t xml:space="preserve">6 · Interconnect, multi-GPU and partitioning</t>
  </si>
  <si>
    <t xml:space="preserve">Item</t>
  </si>
  <si>
    <t xml:space="preserve">Detail</t>
  </si>
  <si>
    <t xml:space="preserve">GPU-to-GPU fabric</t>
  </si>
  <si>
    <t xml:space="preserve">NVLink bridge, 900 GB/s, 2- or 4-GPU islands</t>
  </si>
  <si>
    <t xml:space="preserve">8-GPU node</t>
  </si>
  <si>
    <t xml:space="preserve">Two 4-way NVLink islands; inter-island traffic over PCIe</t>
  </si>
  <si>
    <t xml:space="preserve">PCIe 5.0 x16 per direction</t>
  </si>
  <si>
    <t xml:space="preserve">≈63 GB/s</t>
  </si>
  <si>
    <t xml:space="preserve">Scaling guidance</t>
  </si>
  <si>
    <t xml:space="preserve">TP=4 inside an island; PP or replicas across islands</t>
  </si>
  <si>
    <t xml:space="preserve">Link arithmetic (live)</t>
  </si>
  <si>
    <t xml:space="preserve">Link</t>
  </si>
  <si>
    <t xml:space="preserve">GB/s per direction</t>
  </si>
  <si>
    <t xml:space="preserve">Basis</t>
  </si>
  <si>
    <t xml:space="preserve">PCIe Gen4 x16</t>
  </si>
  <si>
    <t xml:space="preserve">GT/s × lanes × encoding ÷ 8 (Gen6 FLIT ≈242/256)</t>
  </si>
  <si>
    <t xml:space="preserve">PCIe Gen5 x16</t>
  </si>
  <si>
    <t xml:space="preserve">PCIe Gen6 x16</t>
  </si>
  <si>
    <t xml:space="preserve">800 Gb/s NIC line rate</t>
  </si>
  <si>
    <t xml:space="preserve">Needs &gt; Gen5 x16</t>
  </si>
  <si>
    <t xml:space="preserve">400 Gb/s NIC line rate</t>
  </si>
  <si>
    <t xml:space="preserve">Fits Gen5 x16</t>
  </si>
  <si>
    <t xml:space="preserve">This GPU NVLink (per GPU, bidirectional)</t>
  </si>
  <si>
    <t xml:space="preserve">0_Key_Params</t>
  </si>
  <si>
    <t xml:space="preserve">7 · Software stack</t>
  </si>
  <si>
    <t xml:space="preserve">NVIDIA's stack is the mature reference that Intel Arc / Crescent Island are measured against - maturity risk here is licensing, not function.</t>
  </si>
  <si>
    <t xml:space="preserve">Layer</t>
  </si>
  <si>
    <t xml:space="preserve">Support</t>
  </si>
  <si>
    <t xml:space="preserve">Inference</t>
  </si>
  <si>
    <t xml:space="preserve">TensorRT-LLM, vLLM, SGLang, Triton, NIM (FP8)</t>
  </si>
  <si>
    <t xml:space="preserve">HPC</t>
  </si>
  <si>
    <t xml:space="preserve">Full FP64 Tensor Core; CUDA-X HPC</t>
  </si>
  <si>
    <t xml:space="preserve">Included (5 yr)</t>
  </si>
  <si>
    <t xml:space="preserve">8 · Platform integration with Xeon 6</t>
  </si>
  <si>
    <t xml:space="preserve">Host sizing rules (live) and SKU-workbook cross-reference. Socket compatibility is the first filter: most GPU chassis are LGA-4710 (6700P/6500P).</t>
  </si>
  <si>
    <t xml:space="preserve">Requirement</t>
  </si>
  <si>
    <t xml:space="preserve">Rationale</t>
  </si>
  <si>
    <t xml:space="preserve">GPUs per node</t>
  </si>
  <si>
    <t xml:space="preserve">From 0_Key_Params</t>
  </si>
  <si>
    <t xml:space="preserve">GPU-facing PCIe lanes (x16 each)</t>
  </si>
  <si>
    <t xml:space="preserve">Direct attach; behind PCIe switches the host sees fewer root lanes</t>
  </si>
  <si>
    <t xml:space="preserve">Xeon 6700P lanes (2 sockets)</t>
  </si>
  <si>
    <t xml:space="preserve">88 lanes per 6700P CPU (Lenovo LP2264 table) [L1]</t>
  </si>
  <si>
    <t xml:space="preserve">Host memory ≥ 2 × GPU memory (GB)</t>
  </si>
  <si>
    <t xml:space="preserve">Model staging, pinned buffers, KV spill (C1 tier)</t>
  </si>
  <si>
    <t xml:space="preserve">DIMMs needed at 128 GB RDIMM</t>
  </si>
  <si>
    <t xml:space="preserve">Compare to 32 slots (2S × 8 ch × 2 DPC); 2 DPC drops to 5200 MT/s</t>
  </si>
  <si>
    <t xml:space="preserve">SKU workbook rows (Inference of Large GenAI models → GPU host CPU)</t>
  </si>
  <si>
    <t xml:space="preserve">Workbook row · tier · SKU</t>
  </si>
  <si>
    <t xml:space="preserve">Cores / TDP</t>
  </si>
  <si>
    <t xml:space="preserve">Socket</t>
  </si>
  <si>
    <t xml:space="preserve">Fit note</t>
  </si>
  <si>
    <t xml:space="preserve">Row 77 · Good · 6747P</t>
  </si>
  <si>
    <t xml:space="preserve">48C / 330W</t>
  </si>
  <si>
    <t xml:space="preserve">6700P / LGA-4710</t>
  </si>
  <si>
    <t xml:space="preserve">Socket-compatible with LGA-4710 GPU servers; confirm on each OEM's qualified-CPU list</t>
  </si>
  <si>
    <t xml:space="preserve">Row 78 · Good · 6732P</t>
  </si>
  <si>
    <t xml:space="preserve">32C / 350W</t>
  </si>
  <si>
    <t xml:space="preserve">Row 79 · Better · 6960P</t>
  </si>
  <si>
    <t xml:space="preserve">72C / 500W</t>
  </si>
  <si>
    <t xml:space="preserve">6900P / LGA-7529</t>
  </si>
  <si>
    <t xml:space="preserve">Only for 6900P chassis (e.g., Supermicro SYS-522GA-NRT); not socket-compatible with LGA-4710 GPU servers</t>
  </si>
  <si>
    <t xml:space="preserve">Row 80 · Better · 6767P</t>
  </si>
  <si>
    <t xml:space="preserve">64C / 350W</t>
  </si>
  <si>
    <t xml:space="preserve">Row 81 · Best · 6962P*</t>
  </si>
  <si>
    <t xml:space="preserve">Row 82 · Best · 6776P*</t>
  </si>
  <si>
    <t xml:space="preserve">Xeon 6 E-core parts (6700E, e.g., the '144-core' options on HPE DL380a Gen12 and Dell XE7740) have no AMX - node-local guardrail/embedding inference on the host needs P-cores. QAT offload and TDX are mutually exclusive.</t>
  </si>
  <si>
    <t xml:space="preserve">9 · Workload placement guidance</t>
  </si>
  <si>
    <t xml:space="preserve">Workload</t>
  </si>
  <si>
    <t xml:space="preserve">Fit</t>
  </si>
  <si>
    <t xml:space="preserve">Reasoning</t>
  </si>
  <si>
    <t xml:space="preserve">Bandwidth-bound dense decode 30-70B, low latency</t>
  </si>
  <si>
    <t xml:space="preserve">Strong</t>
  </si>
  <si>
    <t xml:space="preserve">4.8 TB/s per GPU — ~3× RTX PRO 6000 per-stream ceiling</t>
  </si>
  <si>
    <t xml:space="preserve">TP=4 serving of 120-235B models (FP8)</t>
  </si>
  <si>
    <t xml:space="preserve">564 GB NVLink island</t>
  </si>
  <si>
    <t xml:space="preserve">Mixed AI + FP64 HPC</t>
  </si>
  <si>
    <t xml:space="preserve">60 TFLOPS FP64 Tensor</t>
  </si>
  <si>
    <t xml:space="preserve">FP4 / NVFP4 serving</t>
  </si>
  <si>
    <t xml:space="preserve">Not supported</t>
  </si>
  <si>
    <t xml:space="preserve">Hopper</t>
  </si>
  <si>
    <t xml:space="preserve">Graphics / video encode</t>
  </si>
  <si>
    <t xml:space="preserve">Not targeted</t>
  </si>
  <si>
    <t xml:space="preserve">No NVENC, no RT cores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</si>
  <si>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</si>
  <si>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</si>
  <si>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</si>
  <si>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</si>
  <si>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</si>
  <si>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</si>
  <si>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NVL compute figures (3P citing SC24 datasheet) vs Lenovo FP8 dense 1,570</t>
  </si>
  <si>
    <t xml:space="preserve">6% spread in dense FP8</t>
  </si>
  <si>
    <t xml:space="preserve">Current NVIDIA H200 datasheet NVL column</t>
  </si>
  <si>
    <t xml:space="preserve">MIG slice size 16.5 GB vs 18 GB</t>
  </si>
  <si>
    <t xml:space="preserve">Tenant sizing</t>
  </si>
  <si>
    <t xml:space="preserve">NVIDIA MIG user guide for H200 NVL</t>
  </si>
  <si>
    <t xml:space="preserve">Supply / EOL horizon for Hopper PCIe</t>
  </si>
  <si>
    <t xml:space="preserve">Previous generation; OEMs may withdraw</t>
  </si>
  <si>
    <t xml:space="preserve">OEM roadmap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</si>
  <si>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</si>
  <si>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</si>
  <si>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</si>
  <si>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</si>
  <si>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</si>
  <si>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Lenovo Press LP2264 - ThinkSystem SR680a V4 Product Guide (updated 28 Aug 2026)</t>
  </si>
  <si>
    <t xml:space="preserve">https://lenovopress.lenovo.com/lp2264-thinksystem-sr680a-v4-server</t>
  </si>
  <si>
    <t xml:space="preserve">L4</t>
  </si>
  <si>
    <t xml:space="preserve">Lenovo Press LP1944 - ThinkSystem NVIDIA H200 141GB GPUs Product Guide</t>
  </si>
  <si>
    <t xml:space="preserve">https://lenovopress.lenovo.com/lp1944-nvidia-h200-141gb-gpu</t>
  </si>
  <si>
    <t xml:space="preserve">NVIDIA - RTX PRO 6000 Blackwell Server Edition product page (spec table)</t>
  </si>
  <si>
    <t xml:space="preserve">https://www.nvidia.com/en-us/data-center/rtx-pro-6000-blackwell-server-edition/</t>
  </si>
  <si>
    <t xml:space="preserve">NVIDIA - H200 product page (H200 NVL positioning, 5-yr NVAIE)</t>
  </si>
  <si>
    <t xml:space="preserve">https://www.nvidia.com/en-us/data-center/h200/</t>
  </si>
  <si>
    <t xml:space="preserve">NVIDIA/PNY - H200 NVL datasheet (AUG24)</t>
  </si>
  <si>
    <t xml:space="preserve">https://www.pny.com/file%20library/company/support/linecards/data-center-gpus/h200-nvl-datasheet.pdf</t>
  </si>
  <si>
    <t xml:space="preserve">GPUpoet - H200 NVL card page citing NVIDIA SC24 datasheet</t>
  </si>
  <si>
    <t xml:space="preserve">https://gpupoet.com/gpu/learn/card/nvidia-h200-nvl</t>
  </si>
  <si>
    <t xml:space="preserve">Hydra Host / Symmatrix - H200 NVL spec listings</t>
  </si>
  <si>
    <t xml:space="preserve">https://hydrahost.com/nvidia/h200/</t>
  </si>
  <si>
    <t xml:space="preserve">Internal - Intel Crescent Island (Xe3P) Technical Reference v1.0 (model-fit parameters, KV geometry)</t>
  </si>
  <si>
    <t xml:space="preserve">Intel_Crescent_Island_Xe3P_Technical_Reference_v1_0.pdf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</si>
  <si>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</si>
  <si>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</si>
  <si>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</si>
  <si>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</si>
  <si>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gpu:</t>
  </si>
  <si>
    <t xml:space="preserve">  id: H200-NVL</t>
  </si>
  <si>
    <t xml:space="preserve">  name: "NVIDIA H200 NVL"</t>
  </si>
  <si>
    <t xml:space="preserve">  tier: "Mid-range (HBM + NVLink option)"</t>
  </si>
  <si>
    <t xml:space="preserve">  board_power_w: 600</t>
  </si>
  <si>
    <t xml:space="preserve">  memory_gb: 141</t>
  </si>
  <si>
    <t xml:space="preserve">  memory_bw_gbs: 4800</t>
  </si>
  <si>
    <t xml:space="preserve">  fp4_native: false</t>
  </si>
  <si>
    <t xml:space="preserve">  fp8_native: true</t>
  </si>
  <si>
    <t xml:space="preserve">  nvlink_gbs: 900</t>
  </si>
  <si>
    <t xml:space="preserve">  host_pcie_gen: 5</t>
  </si>
  <si>
    <t xml:space="preserve">  compute_dense_tflops:</t>
  </si>
  <si>
    <t xml:space="preserve">    fp8: 1670.5   # [3P]</t>
  </si>
  <si>
    <t xml:space="preserve">    int8: 1670.5   # [3P]</t>
  </si>
  <si>
    <t xml:space="preserve">    fp16: 835.5   # [3P]</t>
  </si>
  <si>
    <t xml:space="preserve">    tf32: 417.5   # [D]</t>
  </si>
  <si>
    <t xml:space="preserve">    fp32: 60   # [3P]</t>
  </si>
  <si>
    <t xml:space="preserve">    fp64: 60   # [3P]</t>
  </si>
  <si>
    <t xml:space="preserve">    fp64: 30   # [3P]</t>
  </si>
  <si>
    <t xml:space="preserve">  provenance_file: NVIDIA_H200-NVL_Reference.xlsx</t>
  </si>
  <si>
    <t xml:space="preserve">  compiled: "25 September 2026"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</si>
</sst>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#,##0.##"/>
    <numFmt numFmtId="167" formatCode="0.000"/>
    <numFmt numFmtId="168" formatCode="0.0"/>
    <numFmt numFmtId="169" formatCode="0.00"/>
    <numFmt numFmtId="170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9"/>
      <color rgb="FF404040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23.85" hidden="false" customHeight="false" outlineLevel="0" collapsed="false">
      <c r="A7" s="4" t="s">
        <v>12</v>
      </c>
      <c r="B7" s="4" t="s">
        <v>13</v>
      </c>
      <c r="C7" s="5" t="s">
        <v>8</v>
      </c>
      <c r="D7" s="4" t="s">
        <v>14</v>
      </c>
    </row>
    <row r="8" customFormat="false" ht="15" hidden="false" customHeight="false" outlineLevel="0" collapsed="false">
      <c r="A8" s="4" t="s">
        <v>15</v>
      </c>
      <c r="B8" s="4" t="s">
        <v>16</v>
      </c>
      <c r="C8" s="5" t="s">
        <v>8</v>
      </c>
      <c r="D8" s="4"/>
    </row>
    <row r="10" customFormat="false" ht="15" hidden="false" customHeight="false" outlineLevel="0" collapsed="false">
      <c r="A10" s="7" t="s">
        <v>17</v>
      </c>
    </row>
    <row r="11" customFormat="false" ht="42" hidden="false" customHeight="true" outlineLevel="0" collapsed="false">
      <c r="A11" s="8" t="s">
        <v>18</v>
      </c>
      <c r="B11" s="8"/>
      <c r="C11" s="8"/>
      <c r="D11" s="8"/>
    </row>
    <row r="13" customFormat="false" ht="15" hidden="false" customHeight="false" outlineLevel="0" collapsed="false">
      <c r="A13" s="7" t="s">
        <v>19</v>
      </c>
    </row>
    <row r="14" customFormat="false" ht="42" hidden="false" customHeight="true" outlineLevel="0" collapsed="false">
      <c r="A14" s="8" t="s">
        <v>20</v>
      </c>
      <c r="B14" s="8"/>
      <c r="C14" s="8"/>
      <c r="D14" s="8"/>
    </row>
    <row r="16" customFormat="false" ht="15" hidden="false" customHeight="false" outlineLevel="0" collapsed="false">
      <c r="A16" s="9" t="s">
        <v>21</v>
      </c>
      <c r="B16" s="10"/>
      <c r="C16" s="10"/>
      <c r="D16" s="10"/>
    </row>
    <row r="17" customFormat="false" ht="15" hidden="false" customHeight="false" outlineLevel="0" collapsed="false">
      <c r="A17" s="3" t="s">
        <v>4</v>
      </c>
      <c r="B17" s="3" t="s">
        <v>22</v>
      </c>
      <c r="C17" s="3" t="s">
        <v>23</v>
      </c>
      <c r="D17" s="3" t="s">
        <v>24</v>
      </c>
    </row>
    <row r="18" customFormat="false" ht="23.85" hidden="false" customHeight="false" outlineLevel="0" collapsed="false">
      <c r="A18" s="6" t="s">
        <v>11</v>
      </c>
      <c r="B18" s="4" t="s">
        <v>25</v>
      </c>
      <c r="C18" s="4" t="s">
        <v>26</v>
      </c>
      <c r="D18" s="4" t="s">
        <v>27</v>
      </c>
    </row>
    <row r="19" customFormat="false" ht="15" hidden="false" customHeight="false" outlineLevel="0" collapsed="false">
      <c r="A19" s="5" t="s">
        <v>8</v>
      </c>
      <c r="B19" s="4" t="s">
        <v>28</v>
      </c>
      <c r="C19" s="4" t="s">
        <v>29</v>
      </c>
      <c r="D19" s="4" t="s">
        <v>30</v>
      </c>
    </row>
    <row r="20" customFormat="false" ht="15" hidden="false" customHeight="false" outlineLevel="0" collapsed="false">
      <c r="A20" s="11" t="s">
        <v>31</v>
      </c>
      <c r="B20" s="4" t="s">
        <v>32</v>
      </c>
      <c r="C20" s="4" t="s">
        <v>33</v>
      </c>
      <c r="D20" s="4" t="s">
        <v>34</v>
      </c>
    </row>
    <row r="21" customFormat="false" ht="15" hidden="false" customHeight="false" outlineLevel="0" collapsed="false">
      <c r="A21" s="12" t="s">
        <v>35</v>
      </c>
      <c r="B21" s="4" t="s">
        <v>36</v>
      </c>
      <c r="C21" s="4" t="s">
        <v>37</v>
      </c>
      <c r="D21" s="4" t="s">
        <v>38</v>
      </c>
    </row>
    <row r="22" customFormat="false" ht="15" hidden="false" customHeight="false" outlineLevel="0" collapsed="false">
      <c r="A22" s="13" t="s">
        <v>39</v>
      </c>
      <c r="B22" s="4" t="s">
        <v>40</v>
      </c>
      <c r="C22" s="4" t="s">
        <v>41</v>
      </c>
      <c r="D22" s="4" t="s">
        <v>41</v>
      </c>
    </row>
  </sheetData>
  <mergeCells count="2">
    <mergeCell ref="A11:D11"/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4</v>
      </c>
      <c r="D4" s="3" t="s">
        <v>45</v>
      </c>
      <c r="E4" s="3" t="s">
        <v>46</v>
      </c>
    </row>
    <row r="5" customFormat="false" ht="15" hidden="false" customHeight="false" outlineLevel="0" collapsed="false">
      <c r="A5" s="4" t="s">
        <v>47</v>
      </c>
      <c r="B5" s="14" t="n">
        <v>600</v>
      </c>
      <c r="C5" s="6" t="s">
        <v>11</v>
      </c>
      <c r="D5" s="4"/>
      <c r="E5" s="4" t="s">
        <v>48</v>
      </c>
    </row>
    <row r="6" customFormat="false" ht="15" hidden="false" customHeight="false" outlineLevel="0" collapsed="false">
      <c r="A6" s="4" t="s">
        <v>49</v>
      </c>
      <c r="B6" s="14" t="n">
        <v>141</v>
      </c>
      <c r="C6" s="6" t="s">
        <v>11</v>
      </c>
      <c r="D6" s="4"/>
      <c r="E6" s="4" t="s">
        <v>50</v>
      </c>
    </row>
    <row r="7" customFormat="false" ht="15" hidden="false" customHeight="false" outlineLevel="0" collapsed="false">
      <c r="A7" s="4" t="s">
        <v>51</v>
      </c>
      <c r="B7" s="14" t="n">
        <v>4800</v>
      </c>
      <c r="C7" s="6" t="s">
        <v>11</v>
      </c>
      <c r="D7" s="4"/>
      <c r="E7" s="4" t="s">
        <v>52</v>
      </c>
    </row>
    <row r="8" customFormat="false" ht="15" hidden="false" customHeight="false" outlineLevel="0" collapsed="false">
      <c r="A8" s="4" t="s">
        <v>53</v>
      </c>
      <c r="B8" s="14" t="n">
        <v>0</v>
      </c>
      <c r="C8" s="6" t="s">
        <v>11</v>
      </c>
      <c r="D8" s="4"/>
      <c r="E8" s="4" t="s">
        <v>54</v>
      </c>
    </row>
    <row r="9" customFormat="false" ht="15" hidden="false" customHeight="false" outlineLevel="0" collapsed="false">
      <c r="A9" s="4" t="s">
        <v>55</v>
      </c>
      <c r="B9" s="14" t="n">
        <v>1</v>
      </c>
      <c r="C9" s="6" t="s">
        <v>11</v>
      </c>
      <c r="D9" s="4"/>
      <c r="E9" s="4" t="s">
        <v>56</v>
      </c>
    </row>
    <row r="10" customFormat="false" ht="15" hidden="false" customHeight="false" outlineLevel="0" collapsed="false">
      <c r="A10" s="4" t="s">
        <v>57</v>
      </c>
      <c r="B10" s="14" t="n">
        <v>8</v>
      </c>
      <c r="C10" s="12" t="s">
        <v>35</v>
      </c>
      <c r="D10" s="4"/>
      <c r="E10" s="4" t="s">
        <v>58</v>
      </c>
    </row>
    <row r="11" customFormat="false" ht="15" hidden="false" customHeight="false" outlineLevel="0" collapsed="false">
      <c r="A11" s="4" t="s">
        <v>59</v>
      </c>
      <c r="B11" s="14" t="n">
        <v>5</v>
      </c>
      <c r="C11" s="6" t="s">
        <v>11</v>
      </c>
      <c r="D11" s="4"/>
      <c r="E11" s="4" t="s">
        <v>60</v>
      </c>
    </row>
    <row r="12" customFormat="false" ht="15" hidden="false" customHeight="false" outlineLevel="0" collapsed="false">
      <c r="A12" s="4" t="s">
        <v>61</v>
      </c>
      <c r="B12" s="14" t="n">
        <v>900</v>
      </c>
      <c r="C12" s="6" t="s">
        <v>11</v>
      </c>
      <c r="D12" s="4"/>
      <c r="E12" s="4" t="s">
        <v>62</v>
      </c>
    </row>
    <row r="13" customFormat="false" ht="15" hidden="false" customHeight="false" outlineLevel="0" collapsed="false">
      <c r="A13" s="4" t="s">
        <v>63</v>
      </c>
      <c r="B13" s="14" t="n">
        <v>20</v>
      </c>
      <c r="C13" s="12" t="s">
        <v>35</v>
      </c>
      <c r="D13" s="4"/>
      <c r="E13" s="4" t="s">
        <v>64</v>
      </c>
    </row>
    <row r="14" customFormat="false" ht="15" hidden="false" customHeight="false" outlineLevel="0" collapsed="false">
      <c r="A14" s="4" t="s">
        <v>65</v>
      </c>
      <c r="B14" s="15" t="n">
        <v>0.15</v>
      </c>
      <c r="C14" s="12" t="s">
        <v>35</v>
      </c>
      <c r="D14" s="4"/>
      <c r="E14" s="4" t="s">
        <v>66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19.7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4</v>
      </c>
      <c r="D4" s="3" t="s">
        <v>45</v>
      </c>
      <c r="E4" s="3" t="s">
        <v>46</v>
      </c>
    </row>
    <row r="5" customFormat="false" ht="15" hidden="false" customHeight="false" outlineLevel="0" collapsed="false">
      <c r="A5" s="4" t="s">
        <v>69</v>
      </c>
      <c r="B5" s="4" t="s">
        <v>70</v>
      </c>
      <c r="C5" s="6" t="s">
        <v>11</v>
      </c>
      <c r="D5" s="4" t="s">
        <v>71</v>
      </c>
      <c r="E5" s="4"/>
    </row>
    <row r="6" customFormat="false" ht="15" hidden="false" customHeight="false" outlineLevel="0" collapsed="false">
      <c r="A6" s="4" t="s">
        <v>72</v>
      </c>
      <c r="B6" s="4" t="s">
        <v>73</v>
      </c>
      <c r="C6" s="6" t="s">
        <v>11</v>
      </c>
      <c r="D6" s="4" t="s">
        <v>74</v>
      </c>
      <c r="E6" s="4" t="s">
        <v>75</v>
      </c>
    </row>
    <row r="7" customFormat="false" ht="15" hidden="false" customHeight="false" outlineLevel="0" collapsed="false">
      <c r="A7" s="4" t="s">
        <v>76</v>
      </c>
      <c r="B7" s="4" t="s">
        <v>77</v>
      </c>
      <c r="C7" s="6" t="s">
        <v>11</v>
      </c>
      <c r="D7" s="4" t="s">
        <v>78</v>
      </c>
      <c r="E7" s="4"/>
    </row>
    <row r="8" customFormat="false" ht="15" hidden="false" customHeight="false" outlineLevel="0" collapsed="false">
      <c r="A8" s="4" t="s">
        <v>79</v>
      </c>
      <c r="B8" s="4" t="s">
        <v>80</v>
      </c>
      <c r="C8" s="6" t="s">
        <v>11</v>
      </c>
      <c r="D8" s="4" t="s">
        <v>74</v>
      </c>
      <c r="E8" s="4"/>
    </row>
    <row r="9" customFormat="false" ht="15" hidden="false" customHeight="false" outlineLevel="0" collapsed="false">
      <c r="A9" s="4" t="s">
        <v>81</v>
      </c>
      <c r="B9" s="4" t="s">
        <v>82</v>
      </c>
      <c r="C9" s="6" t="s">
        <v>11</v>
      </c>
      <c r="D9" s="4" t="s">
        <v>74</v>
      </c>
      <c r="E9" s="4" t="s">
        <v>83</v>
      </c>
    </row>
    <row r="10" customFormat="false" ht="15" hidden="false" customHeight="false" outlineLevel="0" collapsed="false">
      <c r="A10" s="4" t="s">
        <v>84</v>
      </c>
      <c r="B10" s="4" t="s">
        <v>85</v>
      </c>
      <c r="C10" s="11" t="s">
        <v>31</v>
      </c>
      <c r="D10" s="4" t="s">
        <v>86</v>
      </c>
      <c r="E10" s="4" t="s">
        <v>87</v>
      </c>
    </row>
    <row r="11" customFormat="false" ht="15" hidden="false" customHeight="false" outlineLevel="0" collapsed="false">
      <c r="A11" s="4" t="s">
        <v>88</v>
      </c>
      <c r="B11" s="4" t="s">
        <v>89</v>
      </c>
      <c r="C11" s="6" t="s">
        <v>11</v>
      </c>
      <c r="D11" s="4" t="s">
        <v>74</v>
      </c>
      <c r="E11" s="4" t="s">
        <v>90</v>
      </c>
    </row>
    <row r="12" customFormat="false" ht="15" hidden="false" customHeight="false" outlineLevel="0" collapsed="false">
      <c r="A12" s="4" t="s">
        <v>91</v>
      </c>
      <c r="B12" s="4" t="s">
        <v>92</v>
      </c>
      <c r="C12" s="6" t="s">
        <v>11</v>
      </c>
      <c r="D12" s="4" t="s">
        <v>74</v>
      </c>
      <c r="E12" s="4"/>
    </row>
    <row r="13" customFormat="false" ht="15" hidden="false" customHeight="false" outlineLevel="0" collapsed="false">
      <c r="A13" s="4" t="s">
        <v>93</v>
      </c>
      <c r="B13" s="4" t="s">
        <v>94</v>
      </c>
      <c r="C13" s="6" t="s">
        <v>11</v>
      </c>
      <c r="D13" s="4" t="s">
        <v>71</v>
      </c>
      <c r="E13" s="4" t="s">
        <v>95</v>
      </c>
    </row>
    <row r="14" customFormat="false" ht="15" hidden="false" customHeight="false" outlineLevel="0" collapsed="false">
      <c r="A14" s="4" t="s">
        <v>96</v>
      </c>
      <c r="B14" s="4" t="s">
        <v>97</v>
      </c>
      <c r="C14" s="11" t="s">
        <v>31</v>
      </c>
      <c r="D14" s="4" t="s">
        <v>86</v>
      </c>
      <c r="E14" s="4"/>
    </row>
    <row r="15" customFormat="false" ht="15" hidden="false" customHeight="false" outlineLevel="0" collapsed="false">
      <c r="A15" s="4" t="s">
        <v>98</v>
      </c>
      <c r="B15" s="4" t="s">
        <v>99</v>
      </c>
      <c r="C15" s="6" t="s">
        <v>11</v>
      </c>
      <c r="D15" s="4" t="s">
        <v>71</v>
      </c>
      <c r="E15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48"/>
  </cols>
  <sheetData>
    <row r="1" customFormat="false" ht="19.7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15" hidden="false" customHeight="false" outlineLevel="0" collapsed="false">
      <c r="A4" s="3" t="s">
        <v>102</v>
      </c>
      <c r="B4" s="3" t="s">
        <v>103</v>
      </c>
      <c r="C4" s="3" t="s">
        <v>104</v>
      </c>
      <c r="D4" s="3" t="s">
        <v>105</v>
      </c>
      <c r="E4" s="3" t="s">
        <v>106</v>
      </c>
      <c r="F4" s="3" t="s">
        <v>107</v>
      </c>
      <c r="G4" s="3" t="s">
        <v>108</v>
      </c>
      <c r="H4" s="3" t="s">
        <v>4</v>
      </c>
      <c r="I4" s="3" t="s">
        <v>45</v>
      </c>
      <c r="J4" s="3" t="s">
        <v>46</v>
      </c>
    </row>
    <row r="5" customFormat="false" ht="15" hidden="false" customHeight="false" outlineLevel="0" collapsed="false">
      <c r="A5" s="4" t="s">
        <v>109</v>
      </c>
      <c r="B5" s="4" t="s">
        <v>110</v>
      </c>
      <c r="C5" s="16" t="s">
        <v>111</v>
      </c>
      <c r="D5" s="4" t="s">
        <v>112</v>
      </c>
      <c r="E5" s="4" t="s">
        <v>41</v>
      </c>
      <c r="F5" s="16" t="s">
        <v>113</v>
      </c>
      <c r="G5" s="17" t="s">
        <v>113</v>
      </c>
      <c r="H5" s="13" t="s">
        <v>39</v>
      </c>
      <c r="I5" s="4"/>
      <c r="J5" s="4" t="s">
        <v>114</v>
      </c>
    </row>
    <row r="6" customFormat="false" ht="15" hidden="false" customHeight="false" outlineLevel="0" collapsed="false">
      <c r="A6" s="4" t="s">
        <v>115</v>
      </c>
      <c r="B6" s="4" t="s">
        <v>110</v>
      </c>
      <c r="C6" s="18" t="n">
        <v>3341</v>
      </c>
      <c r="D6" s="4" t="s">
        <v>112</v>
      </c>
      <c r="E6" s="4" t="s">
        <v>116</v>
      </c>
      <c r="F6" s="16" t="n">
        <f aca="false">IF(E6="Sparse",C6/2,C6)</f>
        <v>1670.5</v>
      </c>
      <c r="G6" s="17" t="n">
        <f aca="false">F6/0_Key_Params!$B$5</f>
        <v>2.78416666666667</v>
      </c>
      <c r="H6" s="11" t="s">
        <v>31</v>
      </c>
      <c r="I6" s="4" t="s">
        <v>117</v>
      </c>
      <c r="J6" s="4" t="s">
        <v>118</v>
      </c>
    </row>
    <row r="7" customFormat="false" ht="15" hidden="false" customHeight="false" outlineLevel="0" collapsed="false">
      <c r="A7" s="4" t="s">
        <v>119</v>
      </c>
      <c r="B7" s="4" t="s">
        <v>110</v>
      </c>
      <c r="C7" s="18" t="n">
        <v>3341</v>
      </c>
      <c r="D7" s="4" t="s">
        <v>120</v>
      </c>
      <c r="E7" s="4" t="s">
        <v>116</v>
      </c>
      <c r="F7" s="16" t="n">
        <f aca="false">IF(E7="Sparse",C7/2,C7)</f>
        <v>1670.5</v>
      </c>
      <c r="G7" s="17" t="n">
        <f aca="false">F7/0_Key_Params!$B$5</f>
        <v>2.78416666666667</v>
      </c>
      <c r="H7" s="11" t="s">
        <v>31</v>
      </c>
      <c r="I7" s="4" t="s">
        <v>117</v>
      </c>
      <c r="J7" s="4"/>
    </row>
    <row r="8" customFormat="false" ht="15" hidden="false" customHeight="false" outlineLevel="0" collapsed="false">
      <c r="A8" s="4" t="s">
        <v>121</v>
      </c>
      <c r="B8" s="4" t="s">
        <v>110</v>
      </c>
      <c r="C8" s="18" t="n">
        <v>1671</v>
      </c>
      <c r="D8" s="4" t="s">
        <v>112</v>
      </c>
      <c r="E8" s="4" t="s">
        <v>116</v>
      </c>
      <c r="F8" s="16" t="n">
        <f aca="false">IF(E8="Sparse",C8/2,C8)</f>
        <v>835.5</v>
      </c>
      <c r="G8" s="17" t="n">
        <f aca="false">F8/0_Key_Params!$B$5</f>
        <v>1.3925</v>
      </c>
      <c r="H8" s="11" t="s">
        <v>31</v>
      </c>
      <c r="I8" s="4" t="s">
        <v>117</v>
      </c>
      <c r="J8" s="4"/>
    </row>
    <row r="9" customFormat="false" ht="15" hidden="false" customHeight="false" outlineLevel="0" collapsed="false">
      <c r="A9" s="4" t="s">
        <v>122</v>
      </c>
      <c r="B9" s="4" t="s">
        <v>110</v>
      </c>
      <c r="C9" s="18" t="n">
        <v>835</v>
      </c>
      <c r="D9" s="4" t="s">
        <v>112</v>
      </c>
      <c r="E9" s="4" t="s">
        <v>116</v>
      </c>
      <c r="F9" s="16" t="n">
        <f aca="false">IF(E9="Sparse",C9/2,C9)</f>
        <v>417.5</v>
      </c>
      <c r="G9" s="17" t="n">
        <f aca="false">F9/0_Key_Params!$B$5</f>
        <v>0.695833333333333</v>
      </c>
      <c r="H9" s="5" t="s">
        <v>8</v>
      </c>
      <c r="I9" s="4" t="s">
        <v>117</v>
      </c>
      <c r="J9" s="4" t="s">
        <v>123</v>
      </c>
    </row>
    <row r="10" customFormat="false" ht="15" hidden="false" customHeight="false" outlineLevel="0" collapsed="false">
      <c r="A10" s="4" t="s">
        <v>124</v>
      </c>
      <c r="B10" s="4" t="s">
        <v>125</v>
      </c>
      <c r="C10" s="18" t="n">
        <v>60</v>
      </c>
      <c r="D10" s="4" t="s">
        <v>112</v>
      </c>
      <c r="E10" s="4" t="s">
        <v>126</v>
      </c>
      <c r="F10" s="16" t="n">
        <f aca="false">IF(E10="Sparse",C10/2,C10)</f>
        <v>60</v>
      </c>
      <c r="G10" s="17" t="n">
        <f aca="false">F10/0_Key_Params!$B$5</f>
        <v>0.1</v>
      </c>
      <c r="H10" s="11" t="s">
        <v>31</v>
      </c>
      <c r="I10" s="4" t="s">
        <v>117</v>
      </c>
      <c r="J10" s="4" t="s">
        <v>127</v>
      </c>
    </row>
    <row r="11" customFormat="false" ht="15" hidden="false" customHeight="false" outlineLevel="0" collapsed="false">
      <c r="A11" s="4" t="s">
        <v>128</v>
      </c>
      <c r="B11" s="4" t="s">
        <v>110</v>
      </c>
      <c r="C11" s="18" t="n">
        <v>60</v>
      </c>
      <c r="D11" s="4" t="s">
        <v>112</v>
      </c>
      <c r="E11" s="4" t="s">
        <v>126</v>
      </c>
      <c r="F11" s="16" t="n">
        <f aca="false">IF(E11="Sparse",C11/2,C11)</f>
        <v>60</v>
      </c>
      <c r="G11" s="17" t="n">
        <f aca="false">F11/0_Key_Params!$B$5</f>
        <v>0.1</v>
      </c>
      <c r="H11" s="11" t="s">
        <v>31</v>
      </c>
      <c r="I11" s="4" t="s">
        <v>117</v>
      </c>
      <c r="J11" s="4" t="s">
        <v>129</v>
      </c>
    </row>
    <row r="12" customFormat="false" ht="15" hidden="false" customHeight="false" outlineLevel="0" collapsed="false">
      <c r="A12" s="4" t="s">
        <v>130</v>
      </c>
      <c r="B12" s="4" t="s">
        <v>125</v>
      </c>
      <c r="C12" s="18" t="n">
        <v>30</v>
      </c>
      <c r="D12" s="4" t="s">
        <v>112</v>
      </c>
      <c r="E12" s="4" t="s">
        <v>126</v>
      </c>
      <c r="F12" s="16" t="n">
        <f aca="false">IF(E12="Sparse",C12/2,C12)</f>
        <v>30</v>
      </c>
      <c r="G12" s="17" t="n">
        <f aca="false">F12/0_Key_Params!$B$5</f>
        <v>0.05</v>
      </c>
      <c r="H12" s="11" t="s">
        <v>31</v>
      </c>
      <c r="I12" s="4" t="s">
        <v>117</v>
      </c>
      <c r="J12" s="4"/>
    </row>
    <row r="14" customFormat="false" ht="15" hidden="false" customHeight="true" outlineLevel="0" collapsed="false">
      <c r="A14" s="19" t="s">
        <v>131</v>
      </c>
      <c r="B14" s="19"/>
      <c r="C14" s="19"/>
      <c r="D14" s="19"/>
      <c r="E14" s="19"/>
      <c r="F14" s="19"/>
      <c r="G14" s="19"/>
      <c r="H14" s="19"/>
      <c r="I14" s="19"/>
      <c r="J14" s="19"/>
    </row>
  </sheetData>
  <mergeCells count="1">
    <mergeCell ref="A14:J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4</v>
      </c>
      <c r="D4" s="3" t="s">
        <v>45</v>
      </c>
    </row>
    <row r="5" customFormat="false" ht="15" hidden="false" customHeight="false" outlineLevel="0" collapsed="false">
      <c r="A5" s="4" t="s">
        <v>134</v>
      </c>
      <c r="B5" s="4" t="s">
        <v>135</v>
      </c>
      <c r="C5" s="6" t="s">
        <v>11</v>
      </c>
      <c r="D5" s="4" t="s">
        <v>74</v>
      </c>
    </row>
    <row r="6" customFormat="false" ht="15" hidden="false" customHeight="false" outlineLevel="0" collapsed="false">
      <c r="A6" s="4" t="s">
        <v>136</v>
      </c>
      <c r="B6" s="4" t="s">
        <v>137</v>
      </c>
      <c r="C6" s="6" t="s">
        <v>11</v>
      </c>
      <c r="D6" s="4" t="s">
        <v>74</v>
      </c>
    </row>
    <row r="7" customFormat="false" ht="35.05" hidden="false" customHeight="false" outlineLevel="0" collapsed="false">
      <c r="A7" s="4" t="s">
        <v>138</v>
      </c>
      <c r="B7" s="4" t="s">
        <v>139</v>
      </c>
      <c r="C7" s="5" t="s">
        <v>8</v>
      </c>
      <c r="D7" s="4" t="s">
        <v>74</v>
      </c>
    </row>
    <row r="8" customFormat="false" ht="23.85" hidden="false" customHeight="false" outlineLevel="0" collapsed="false">
      <c r="A8" s="4" t="s">
        <v>140</v>
      </c>
      <c r="B8" s="4" t="s">
        <v>141</v>
      </c>
      <c r="C8" s="5" t="s">
        <v>8</v>
      </c>
      <c r="D8" s="4" t="s">
        <v>142</v>
      </c>
    </row>
    <row r="10" customFormat="false" ht="15" hidden="false" customHeight="false" outlineLevel="0" collapsed="false">
      <c r="A10" s="9" t="s">
        <v>143</v>
      </c>
      <c r="B10" s="10"/>
      <c r="C10" s="10"/>
      <c r="D10" s="10"/>
      <c r="E10" s="10"/>
      <c r="F10" s="10"/>
    </row>
    <row r="11" customFormat="false" ht="15" hidden="false" customHeight="false" outlineLevel="0" collapsed="false">
      <c r="A11" s="3" t="s">
        <v>144</v>
      </c>
      <c r="B11" s="3" t="s">
        <v>3</v>
      </c>
      <c r="C11" s="3" t="s">
        <v>105</v>
      </c>
      <c r="D11" s="3" t="s">
        <v>145</v>
      </c>
      <c r="E11" s="3" t="s">
        <v>4</v>
      </c>
      <c r="F11" s="3"/>
    </row>
    <row r="12" customFormat="false" ht="15" hidden="false" customHeight="false" outlineLevel="0" collapsed="false">
      <c r="A12" s="4" t="s">
        <v>146</v>
      </c>
      <c r="B12" s="20" t="n">
        <f aca="false">0_Key_Params!$B$7/0_Key_Params!$B$6</f>
        <v>34.0425531914894</v>
      </c>
      <c r="C12" s="4" t="s">
        <v>147</v>
      </c>
      <c r="D12" s="4" t="s">
        <v>148</v>
      </c>
      <c r="E12" s="5" t="s">
        <v>8</v>
      </c>
    </row>
    <row r="13" customFormat="false" ht="15" hidden="false" customHeight="false" outlineLevel="0" collapsed="false">
      <c r="A13" s="4" t="s">
        <v>149</v>
      </c>
      <c r="B13" s="21" t="n">
        <f aca="false">0_Key_Params!$B$7/0_Key_Params!$B$5</f>
        <v>8</v>
      </c>
      <c r="C13" s="4" t="s">
        <v>150</v>
      </c>
      <c r="D13" s="4" t="s">
        <v>151</v>
      </c>
      <c r="E13" s="5" t="s">
        <v>8</v>
      </c>
    </row>
    <row r="14" customFormat="false" ht="15" hidden="false" customHeight="false" outlineLevel="0" collapsed="false">
      <c r="A14" s="4" t="s">
        <v>152</v>
      </c>
      <c r="B14" s="17" t="n">
        <f aca="false">0_Key_Params!$B$6/0_Key_Params!$B$5</f>
        <v>0.235</v>
      </c>
      <c r="C14" s="4" t="s">
        <v>153</v>
      </c>
      <c r="D14" s="4" t="s">
        <v>154</v>
      </c>
      <c r="E14" s="5" t="s">
        <v>8</v>
      </c>
    </row>
    <row r="15" customFormat="false" ht="23.85" hidden="false" customHeight="false" outlineLevel="0" collapsed="false">
      <c r="A15" s="4" t="s">
        <v>155</v>
      </c>
      <c r="B15" s="22" t="n">
        <f aca="false">0_Key_Params!$B$6*0_Key_Params!$B$10</f>
        <v>1128</v>
      </c>
      <c r="C15" s="4" t="s">
        <v>156</v>
      </c>
      <c r="D15" s="4" t="s">
        <v>157</v>
      </c>
      <c r="E15" s="5" t="s">
        <v>8</v>
      </c>
    </row>
    <row r="17" customFormat="false" ht="15" hidden="false" customHeight="false" outlineLevel="0" collapsed="false">
      <c r="A17" s="9" t="s">
        <v>158</v>
      </c>
      <c r="B17" s="10"/>
      <c r="C17" s="10"/>
      <c r="D17" s="10"/>
      <c r="E17" s="10"/>
      <c r="F17" s="10"/>
    </row>
    <row r="18" customFormat="false" ht="15" hidden="false" customHeight="false" outlineLevel="0" collapsed="false">
      <c r="A18" s="3" t="s">
        <v>159</v>
      </c>
      <c r="B18" s="3" t="s">
        <v>160</v>
      </c>
      <c r="C18" s="3" t="s">
        <v>161</v>
      </c>
      <c r="D18" s="3" t="s">
        <v>162</v>
      </c>
      <c r="E18" s="3" t="s">
        <v>4</v>
      </c>
      <c r="F18" s="3" t="s">
        <v>45</v>
      </c>
    </row>
    <row r="19" customFormat="false" ht="15" hidden="false" customHeight="false" outlineLevel="0" collapsed="false">
      <c r="A19" s="4" t="s">
        <v>163</v>
      </c>
      <c r="B19" s="4" t="n">
        <v>24</v>
      </c>
      <c r="C19" s="4" t="n">
        <v>300</v>
      </c>
      <c r="D19" s="20" t="n">
        <f aca="false">C19/B19</f>
        <v>12.5</v>
      </c>
      <c r="E19" s="6" t="s">
        <v>11</v>
      </c>
      <c r="F19" s="4" t="s">
        <v>164</v>
      </c>
    </row>
    <row r="20" customFormat="false" ht="15" hidden="false" customHeight="false" outlineLevel="0" collapsed="false">
      <c r="A20" s="4" t="s">
        <v>165</v>
      </c>
      <c r="B20" s="4" t="n">
        <v>32</v>
      </c>
      <c r="C20" s="4" t="n">
        <v>800</v>
      </c>
      <c r="D20" s="20" t="n">
        <f aca="false">C20/B20</f>
        <v>25</v>
      </c>
      <c r="E20" s="6" t="s">
        <v>11</v>
      </c>
      <c r="F20" s="4" t="s">
        <v>166</v>
      </c>
    </row>
    <row r="21" customFormat="false" ht="15" hidden="false" customHeight="false" outlineLevel="0" collapsed="false">
      <c r="A21" s="4" t="s">
        <v>167</v>
      </c>
      <c r="B21" s="4" t="n">
        <v>32</v>
      </c>
      <c r="C21" s="4" t="n">
        <v>608</v>
      </c>
      <c r="D21" s="20" t="n">
        <f aca="false">C21/B21</f>
        <v>19</v>
      </c>
      <c r="E21" s="6" t="s">
        <v>11</v>
      </c>
      <c r="F21" s="4" t="s">
        <v>168</v>
      </c>
    </row>
    <row r="22" customFormat="false" ht="15" hidden="false" customHeight="false" outlineLevel="0" collapsed="false">
      <c r="A22" s="4" t="s">
        <v>169</v>
      </c>
      <c r="B22" s="4" t="n">
        <v>96</v>
      </c>
      <c r="C22" s="4" t="n">
        <v>1597</v>
      </c>
      <c r="D22" s="20" t="n">
        <f aca="false">C22/B22</f>
        <v>16.6354166666667</v>
      </c>
      <c r="E22" s="6" t="s">
        <v>11</v>
      </c>
      <c r="F22" s="4" t="s">
        <v>170</v>
      </c>
    </row>
    <row r="23" customFormat="false" ht="15" hidden="false" customHeight="false" outlineLevel="0" collapsed="false">
      <c r="A23" s="4" t="s">
        <v>68</v>
      </c>
      <c r="B23" s="4" t="n">
        <v>141</v>
      </c>
      <c r="C23" s="4" t="n">
        <v>4800</v>
      </c>
      <c r="D23" s="20" t="n">
        <f aca="false">C23/B23</f>
        <v>34.0425531914894</v>
      </c>
      <c r="E23" s="6" t="s">
        <v>11</v>
      </c>
      <c r="F23" s="4" t="s">
        <v>71</v>
      </c>
    </row>
    <row r="24" customFormat="false" ht="15" hidden="false" customHeight="false" outlineLevel="0" collapsed="false">
      <c r="A24" s="4" t="s">
        <v>171</v>
      </c>
      <c r="B24" s="4" t="n">
        <v>160</v>
      </c>
      <c r="C24" s="4" t="n">
        <v>1536</v>
      </c>
      <c r="D24" s="20" t="n">
        <f aca="false">C24/B24</f>
        <v>9.6</v>
      </c>
      <c r="E24" s="5" t="s">
        <v>8</v>
      </c>
      <c r="F24" s="4" t="s">
        <v>172</v>
      </c>
    </row>
    <row r="25" customFormat="false" ht="15" hidden="false" customHeight="false" outlineLevel="0" collapsed="false">
      <c r="A25" s="4" t="s">
        <v>173</v>
      </c>
      <c r="B25" s="4" t="n">
        <v>180</v>
      </c>
      <c r="C25" s="4" t="n">
        <v>8000</v>
      </c>
      <c r="D25" s="20" t="n">
        <f aca="false">C25/B25</f>
        <v>44.4444444444444</v>
      </c>
      <c r="E25" s="11" t="s">
        <v>31</v>
      </c>
      <c r="F25" s="4" t="s">
        <v>174</v>
      </c>
    </row>
    <row r="26" customFormat="false" ht="15" hidden="false" customHeight="false" outlineLevel="0" collapsed="false">
      <c r="A26" s="4" t="s">
        <v>175</v>
      </c>
      <c r="B26" s="4" t="n">
        <v>288</v>
      </c>
      <c r="C26" s="4" t="n">
        <v>7700</v>
      </c>
      <c r="D26" s="20" t="n">
        <f aca="false">C26/B26</f>
        <v>26.7361111111111</v>
      </c>
      <c r="E26" s="6" t="s">
        <v>11</v>
      </c>
      <c r="F26" s="4" t="s">
        <v>176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44"/>
  </cols>
  <sheetData>
    <row r="1" customFormat="false" ht="19.7" hidden="false" customHeight="false" outlineLevel="0" collapsed="false">
      <c r="A1" s="1" t="s">
        <v>177</v>
      </c>
    </row>
    <row r="2" customFormat="false" ht="15" hidden="false" customHeight="false" outlineLevel="0" collapsed="false">
      <c r="A2" s="2" t="s">
        <v>178</v>
      </c>
    </row>
    <row r="4" customFormat="false" ht="15" hidden="false" customHeight="false" outlineLevel="0" collapsed="false">
      <c r="A4" s="3" t="s">
        <v>179</v>
      </c>
      <c r="B4" s="3" t="s">
        <v>180</v>
      </c>
      <c r="C4" s="3" t="s">
        <v>161</v>
      </c>
      <c r="D4" s="3" t="s">
        <v>181</v>
      </c>
      <c r="E4" s="3" t="s">
        <v>182</v>
      </c>
    </row>
    <row r="5" customFormat="false" ht="23.85" hidden="false" customHeight="false" outlineLevel="0" collapsed="false">
      <c r="A5" s="4" t="s">
        <v>183</v>
      </c>
      <c r="B5" s="22" t="n">
        <f aca="false">2_Compute!$F$8</f>
        <v>835.5</v>
      </c>
      <c r="C5" s="4" t="n">
        <f aca="false">0_Key_Params!$B$7</f>
        <v>4800</v>
      </c>
      <c r="D5" s="22" t="n">
        <f aca="false">B5*1000/C5</f>
        <v>174.0625</v>
      </c>
      <c r="E5" s="4" t="s">
        <v>184</v>
      </c>
    </row>
    <row r="6" customFormat="false" ht="23.85" hidden="false" customHeight="false" outlineLevel="0" collapsed="false">
      <c r="A6" s="4" t="s">
        <v>115</v>
      </c>
      <c r="B6" s="22" t="n">
        <f aca="false">2_Compute!$F$6</f>
        <v>1670.5</v>
      </c>
      <c r="C6" s="4" t="n">
        <f aca="false">0_Key_Params!$B$7</f>
        <v>4800</v>
      </c>
      <c r="D6" s="22" t="n">
        <f aca="false">B6*1000/C6</f>
        <v>348.020833333333</v>
      </c>
      <c r="E6" s="4" t="s">
        <v>184</v>
      </c>
    </row>
    <row r="7" customFormat="false" ht="15" hidden="false" customHeight="false" outlineLevel="0" collapsed="false">
      <c r="A7" s="4" t="s">
        <v>185</v>
      </c>
      <c r="B7" s="4" t="s">
        <v>113</v>
      </c>
      <c r="C7" s="4" t="n">
        <f aca="false">0_Key_Params!$B$7</f>
        <v>4800</v>
      </c>
      <c r="D7" s="4" t="s">
        <v>113</v>
      </c>
      <c r="E7" s="4" t="s">
        <v>186</v>
      </c>
    </row>
    <row r="9" customFormat="false" ht="25.5" hidden="false" customHeight="true" outlineLevel="0" collapsed="false">
      <c r="A9" s="19" t="s">
        <v>187</v>
      </c>
      <c r="B9" s="19"/>
      <c r="C9" s="19"/>
      <c r="D9" s="19"/>
      <c r="E9" s="19"/>
    </row>
  </sheetData>
  <mergeCells count="1">
    <mergeCell ref="A9:E9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7" min="5" style="0" width="9"/>
    <col collapsed="false" customWidth="true" hidden="false" outlineLevel="0" max="11" min="8" style="0" width="8"/>
    <col collapsed="false" customWidth="true" hidden="false" outlineLevel="0" max="14" min="12" style="0" width="11"/>
    <col collapsed="false" customWidth="true" hidden="false" outlineLevel="0" max="15" min="15" style="0" width="13"/>
    <col collapsed="false" customWidth="true" hidden="false" outlineLevel="0" max="16" min="16" style="0" width="14"/>
  </cols>
  <sheetData>
    <row r="1" customFormat="false" ht="19.7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4" customFormat="false" ht="15" hidden="false" customHeight="true" outlineLevel="0" collapsed="false">
      <c r="A4" s="23" t="s">
        <v>190</v>
      </c>
      <c r="B4" s="23"/>
      <c r="C4" s="23"/>
      <c r="D4" s="24" t="s">
        <v>191</v>
      </c>
      <c r="E4" s="25" t="n">
        <v>2</v>
      </c>
      <c r="F4" s="24" t="s">
        <v>115</v>
      </c>
      <c r="G4" s="25" t="n">
        <v>1</v>
      </c>
      <c r="H4" s="24" t="s">
        <v>109</v>
      </c>
      <c r="I4" s="25" t="n">
        <v>0.56</v>
      </c>
      <c r="J4" s="26" t="s">
        <v>192</v>
      </c>
    </row>
    <row r="6" customFormat="false" ht="35.05" hidden="false" customHeight="false" outlineLevel="0" collapsed="false">
      <c r="A6" s="3" t="s">
        <v>193</v>
      </c>
      <c r="B6" s="3" t="s">
        <v>194</v>
      </c>
      <c r="C6" s="3" t="s">
        <v>195</v>
      </c>
      <c r="D6" s="3" t="s">
        <v>196</v>
      </c>
      <c r="E6" s="3" t="s">
        <v>197</v>
      </c>
      <c r="F6" s="3" t="s">
        <v>198</v>
      </c>
      <c r="G6" s="3" t="s">
        <v>199</v>
      </c>
      <c r="H6" s="3" t="s">
        <v>200</v>
      </c>
      <c r="I6" s="3" t="s">
        <v>201</v>
      </c>
      <c r="J6" s="3" t="s">
        <v>202</v>
      </c>
      <c r="K6" s="3" t="s">
        <v>203</v>
      </c>
      <c r="L6" s="3" t="s">
        <v>204</v>
      </c>
      <c r="M6" s="3" t="s">
        <v>205</v>
      </c>
      <c r="N6" s="3" t="s">
        <v>206</v>
      </c>
      <c r="O6" s="3" t="s">
        <v>207</v>
      </c>
      <c r="P6" s="3" t="s">
        <v>45</v>
      </c>
    </row>
    <row r="7" customFormat="false" ht="23.85" hidden="false" customHeight="false" outlineLevel="0" collapsed="false">
      <c r="A7" s="27" t="s">
        <v>208</v>
      </c>
      <c r="B7" s="27"/>
      <c r="C7" s="27"/>
      <c r="D7" s="27"/>
      <c r="E7" s="27"/>
      <c r="F7" s="27"/>
      <c r="G7" s="27"/>
      <c r="H7" s="28" t="n">
        <v>1</v>
      </c>
      <c r="I7" s="28" t="n">
        <v>2</v>
      </c>
      <c r="J7" s="28" t="n">
        <v>4</v>
      </c>
      <c r="K7" s="28" t="n">
        <v>8</v>
      </c>
      <c r="L7" s="27"/>
      <c r="M7" s="27"/>
      <c r="N7" s="27"/>
      <c r="O7" s="27" t="n">
        <f aca="false">0_Key_Params!$B$10</f>
        <v>8</v>
      </c>
      <c r="P7" s="27"/>
    </row>
    <row r="8" customFormat="false" ht="15" hidden="false" customHeight="false" outlineLevel="0" collapsed="false">
      <c r="A8" s="4" t="s">
        <v>209</v>
      </c>
      <c r="B8" s="4" t="s">
        <v>126</v>
      </c>
      <c r="C8" s="14" t="n">
        <v>8</v>
      </c>
      <c r="D8" s="14" t="n">
        <v>8</v>
      </c>
      <c r="E8" s="22" t="n">
        <f aca="false">C8*$E$4</f>
        <v>16</v>
      </c>
      <c r="F8" s="22" t="n">
        <f aca="false">C8*$G$4</f>
        <v>8</v>
      </c>
      <c r="G8" s="22" t="n">
        <f aca="false">C8*$I$4</f>
        <v>4.48</v>
      </c>
      <c r="H8" s="4" t="str">
        <f aca="false">IF(E8&lt;=H$7*0_Key_Params!$B$6*(1-0_Key_Params!$B$14),"BF16",IF(AND(0_Key_Params!$B$9=1,F8&lt;=H$7*0_Key_Params!$B$6*(1-0_Key_Params!$B$14)),"FP8",IF(AND(0_Key_Params!$B$8=1,G8&lt;=H$7*0_Key_Params!$B$6*(1-0_Key_Params!$B$14)),"FP4","—")))</f>
        <v>BF16</v>
      </c>
      <c r="I8" s="4" t="str">
        <f aca="false">IF(E8&lt;=I$7*0_Key_Params!$B$6*(1-0_Key_Params!$B$14),"BF16",IF(AND(0_Key_Params!$B$9=1,F8&lt;=I$7*0_Key_Params!$B$6*(1-0_Key_Params!$B$14)),"FP8",IF(AND(0_Key_Params!$B$8=1,G8&lt;=I$7*0_Key_Params!$B$6*(1-0_Key_Params!$B$14)),"FP4","—")))</f>
        <v>BF16</v>
      </c>
      <c r="J8" s="4" t="str">
        <f aca="false">IF(E8&lt;=J$7*0_Key_Params!$B$6*(1-0_Key_Params!$B$14),"BF16",IF(AND(0_Key_Params!$B$9=1,F8&lt;=J$7*0_Key_Params!$B$6*(1-0_Key_Params!$B$14)),"FP8",IF(AND(0_Key_Params!$B$8=1,G8&lt;=J$7*0_Key_Params!$B$6*(1-0_Key_Params!$B$14)),"FP4","—")))</f>
        <v>BF16</v>
      </c>
      <c r="K8" s="4" t="str">
        <f aca="false">IF(E8&lt;=K$7*0_Key_Params!$B$6*(1-0_Key_Params!$B$14),"BF16",IF(AND(0_Key_Params!$B$9=1,F8&lt;=K$7*0_Key_Params!$B$6*(1-0_Key_Params!$B$14)),"FP8",IF(AND(0_Key_Params!$B$8=1,G8&lt;=K$7*0_Key_Params!$B$6*(1-0_Key_Params!$B$14)),"FP4","—")))</f>
        <v>BF16</v>
      </c>
      <c r="L8" s="22" t="n">
        <f aca="false">0_Key_Params!$B$7/(D8*$G$4)</f>
        <v>600</v>
      </c>
      <c r="M8" s="22" t="str">
        <f aca="false">IF(0_Key_Params!$B$8=1,0_Key_Params!$B$7/(D8*$I$4),"n/a")</f>
        <v>n/a</v>
      </c>
      <c r="N8" s="14" t="n">
        <v>64</v>
      </c>
      <c r="O8" s="22" t="n">
        <f aca="false">IF($O$7*0_Key_Params!$B$6-F8-$O$7*0_Key_Params!$B$13&gt;0,($O$7*0_Key_Params!$B$6-F8-$O$7*0_Key_Params!$B$13)*1000000/N8,"— (weights exceed node)")</f>
        <v>15000000</v>
      </c>
      <c r="P8" s="4" t="s">
        <v>172</v>
      </c>
    </row>
    <row r="9" customFormat="false" ht="15" hidden="false" customHeight="false" outlineLevel="0" collapsed="false">
      <c r="A9" s="4" t="s">
        <v>210</v>
      </c>
      <c r="B9" s="4" t="s">
        <v>126</v>
      </c>
      <c r="C9" s="14" t="n">
        <v>33</v>
      </c>
      <c r="D9" s="14" t="n">
        <v>32.8</v>
      </c>
      <c r="E9" s="22" t="n">
        <f aca="false">C9*$E$4</f>
        <v>66</v>
      </c>
      <c r="F9" s="22" t="n">
        <f aca="false">C9*$G$4</f>
        <v>33</v>
      </c>
      <c r="G9" s="22" t="n">
        <f aca="false">C9*$I$4</f>
        <v>18.48</v>
      </c>
      <c r="H9" s="4" t="str">
        <f aca="false">IF(E9&lt;=H$7*0_Key_Params!$B$6*(1-0_Key_Params!$B$14),"BF16",IF(AND(0_Key_Params!$B$9=1,F9&lt;=H$7*0_Key_Params!$B$6*(1-0_Key_Params!$B$14)),"FP8",IF(AND(0_Key_Params!$B$8=1,G9&lt;=H$7*0_Key_Params!$B$6*(1-0_Key_Params!$B$14)),"FP4","—")))</f>
        <v>BF16</v>
      </c>
      <c r="I9" s="4" t="str">
        <f aca="false">IF(E9&lt;=I$7*0_Key_Params!$B$6*(1-0_Key_Params!$B$14),"BF16",IF(AND(0_Key_Params!$B$9=1,F9&lt;=I$7*0_Key_Params!$B$6*(1-0_Key_Params!$B$14)),"FP8",IF(AND(0_Key_Params!$B$8=1,G9&lt;=I$7*0_Key_Params!$B$6*(1-0_Key_Params!$B$14)),"FP4","—")))</f>
        <v>BF16</v>
      </c>
      <c r="J9" s="4" t="str">
        <f aca="false">IF(E9&lt;=J$7*0_Key_Params!$B$6*(1-0_Key_Params!$B$14),"BF16",IF(AND(0_Key_Params!$B$9=1,F9&lt;=J$7*0_Key_Params!$B$6*(1-0_Key_Params!$B$14)),"FP8",IF(AND(0_Key_Params!$B$8=1,G9&lt;=J$7*0_Key_Params!$B$6*(1-0_Key_Params!$B$14)),"FP4","—")))</f>
        <v>BF16</v>
      </c>
      <c r="K9" s="4" t="str">
        <f aca="false">IF(E9&lt;=K$7*0_Key_Params!$B$6*(1-0_Key_Params!$B$14),"BF16",IF(AND(0_Key_Params!$B$9=1,F9&lt;=K$7*0_Key_Params!$B$6*(1-0_Key_Params!$B$14)),"FP8",IF(AND(0_Key_Params!$B$8=1,G9&lt;=K$7*0_Key_Params!$B$6*(1-0_Key_Params!$B$14)),"FP4","—")))</f>
        <v>BF16</v>
      </c>
      <c r="L9" s="22" t="n">
        <f aca="false">0_Key_Params!$B$7/(D9*$G$4)</f>
        <v>146.341463414634</v>
      </c>
      <c r="M9" s="22" t="str">
        <f aca="false">IF(0_Key_Params!$B$8=1,0_Key_Params!$B$7/(D9*$I$4),"n/a")</f>
        <v>n/a</v>
      </c>
      <c r="N9" s="14" t="n">
        <v>128</v>
      </c>
      <c r="O9" s="22" t="n">
        <f aca="false">IF($O$7*0_Key_Params!$B$6-F9-$O$7*0_Key_Params!$B$13&gt;0,($O$7*0_Key_Params!$B$6-F9-$O$7*0_Key_Params!$B$13)*1000000/N9,"— (weights exceed node)")</f>
        <v>7304687.5</v>
      </c>
      <c r="P9" s="4" t="s">
        <v>172</v>
      </c>
    </row>
    <row r="10" customFormat="false" ht="15" hidden="false" customHeight="false" outlineLevel="0" collapsed="false">
      <c r="A10" s="4" t="s">
        <v>211</v>
      </c>
      <c r="B10" s="4" t="s">
        <v>126</v>
      </c>
      <c r="C10" s="14" t="n">
        <v>71</v>
      </c>
      <c r="D10" s="14" t="n">
        <v>70.6</v>
      </c>
      <c r="E10" s="22" t="n">
        <f aca="false">C10*$E$4</f>
        <v>142</v>
      </c>
      <c r="F10" s="22" t="n">
        <f aca="false">C10*$G$4</f>
        <v>71</v>
      </c>
      <c r="G10" s="22" t="n">
        <f aca="false">C10*$I$4</f>
        <v>39.76</v>
      </c>
      <c r="H10" s="4" t="str">
        <f aca="false">IF(E10&lt;=H$7*0_Key_Params!$B$6*(1-0_Key_Params!$B$14),"BF16",IF(AND(0_Key_Params!$B$9=1,F10&lt;=H$7*0_Key_Params!$B$6*(1-0_Key_Params!$B$14)),"FP8",IF(AND(0_Key_Params!$B$8=1,G10&lt;=H$7*0_Key_Params!$B$6*(1-0_Key_Params!$B$14)),"FP4","—")))</f>
        <v>FP8</v>
      </c>
      <c r="I10" s="4" t="str">
        <f aca="false">IF(E10&lt;=I$7*0_Key_Params!$B$6*(1-0_Key_Params!$B$14),"BF16",IF(AND(0_Key_Params!$B$9=1,F10&lt;=I$7*0_Key_Params!$B$6*(1-0_Key_Params!$B$14)),"FP8",IF(AND(0_Key_Params!$B$8=1,G10&lt;=I$7*0_Key_Params!$B$6*(1-0_Key_Params!$B$14)),"FP4","—")))</f>
        <v>BF16</v>
      </c>
      <c r="J10" s="4" t="str">
        <f aca="false">IF(E10&lt;=J$7*0_Key_Params!$B$6*(1-0_Key_Params!$B$14),"BF16",IF(AND(0_Key_Params!$B$9=1,F10&lt;=J$7*0_Key_Params!$B$6*(1-0_Key_Params!$B$14)),"FP8",IF(AND(0_Key_Params!$B$8=1,G10&lt;=J$7*0_Key_Params!$B$6*(1-0_Key_Params!$B$14)),"FP4","—")))</f>
        <v>BF16</v>
      </c>
      <c r="K10" s="4" t="str">
        <f aca="false">IF(E10&lt;=K$7*0_Key_Params!$B$6*(1-0_Key_Params!$B$14),"BF16",IF(AND(0_Key_Params!$B$9=1,F10&lt;=K$7*0_Key_Params!$B$6*(1-0_Key_Params!$B$14)),"FP8",IF(AND(0_Key_Params!$B$8=1,G10&lt;=K$7*0_Key_Params!$B$6*(1-0_Key_Params!$B$14)),"FP4","—")))</f>
        <v>BF16</v>
      </c>
      <c r="L10" s="22" t="n">
        <f aca="false">0_Key_Params!$B$7/(D10*$G$4)</f>
        <v>67.9886685552408</v>
      </c>
      <c r="M10" s="22" t="str">
        <f aca="false">IF(0_Key_Params!$B$8=1,0_Key_Params!$B$7/(D10*$I$4),"n/a")</f>
        <v>n/a</v>
      </c>
      <c r="N10" s="14" t="n">
        <v>160</v>
      </c>
      <c r="O10" s="22" t="n">
        <f aca="false">IF($O$7*0_Key_Params!$B$6-F10-$O$7*0_Key_Params!$B$13&gt;0,($O$7*0_Key_Params!$B$6-F10-$O$7*0_Key_Params!$B$13)*1000000/N10,"— (weights exceed node)")</f>
        <v>5606250</v>
      </c>
      <c r="P10" s="4" t="s">
        <v>172</v>
      </c>
    </row>
    <row r="11" customFormat="false" ht="15" hidden="false" customHeight="false" outlineLevel="0" collapsed="false">
      <c r="A11" s="4" t="s">
        <v>212</v>
      </c>
      <c r="B11" s="4" t="s">
        <v>213</v>
      </c>
      <c r="C11" s="14" t="n">
        <v>117</v>
      </c>
      <c r="D11" s="14" t="n">
        <v>5.1</v>
      </c>
      <c r="E11" s="22" t="n">
        <f aca="false">C11*$E$4</f>
        <v>234</v>
      </c>
      <c r="F11" s="22" t="n">
        <f aca="false">C11*$G$4</f>
        <v>117</v>
      </c>
      <c r="G11" s="22" t="n">
        <f aca="false">C11*$I$4</f>
        <v>65.52</v>
      </c>
      <c r="H11" s="4" t="str">
        <f aca="false">IF(E11&lt;=H$7*0_Key_Params!$B$6*(1-0_Key_Params!$B$14),"BF16",IF(AND(0_Key_Params!$B$9=1,F11&lt;=H$7*0_Key_Params!$B$6*(1-0_Key_Params!$B$14)),"FP8",IF(AND(0_Key_Params!$B$8=1,G11&lt;=H$7*0_Key_Params!$B$6*(1-0_Key_Params!$B$14)),"FP4","—")))</f>
        <v>FP8</v>
      </c>
      <c r="I11" s="4" t="str">
        <f aca="false">IF(E11&lt;=I$7*0_Key_Params!$B$6*(1-0_Key_Params!$B$14),"BF16",IF(AND(0_Key_Params!$B$9=1,F11&lt;=I$7*0_Key_Params!$B$6*(1-0_Key_Params!$B$14)),"FP8",IF(AND(0_Key_Params!$B$8=1,G11&lt;=I$7*0_Key_Params!$B$6*(1-0_Key_Params!$B$14)),"FP4","—")))</f>
        <v>BF16</v>
      </c>
      <c r="J11" s="4" t="str">
        <f aca="false">IF(E11&lt;=J$7*0_Key_Params!$B$6*(1-0_Key_Params!$B$14),"BF16",IF(AND(0_Key_Params!$B$9=1,F11&lt;=J$7*0_Key_Params!$B$6*(1-0_Key_Params!$B$14)),"FP8",IF(AND(0_Key_Params!$B$8=1,G11&lt;=J$7*0_Key_Params!$B$6*(1-0_Key_Params!$B$14)),"FP4","—")))</f>
        <v>BF16</v>
      </c>
      <c r="K11" s="4" t="str">
        <f aca="false">IF(E11&lt;=K$7*0_Key_Params!$B$6*(1-0_Key_Params!$B$14),"BF16",IF(AND(0_Key_Params!$B$9=1,F11&lt;=K$7*0_Key_Params!$B$6*(1-0_Key_Params!$B$14)),"FP8",IF(AND(0_Key_Params!$B$8=1,G11&lt;=K$7*0_Key_Params!$B$6*(1-0_Key_Params!$B$14)),"FP4","—")))</f>
        <v>BF16</v>
      </c>
      <c r="L11" s="22" t="n">
        <f aca="false">0_Key_Params!$B$7/(D11*$G$4)</f>
        <v>941.176470588235</v>
      </c>
      <c r="M11" s="22" t="str">
        <f aca="false">IF(0_Key_Params!$B$8=1,0_Key_Params!$B$7/(D11*$I$4),"n/a")</f>
        <v>n/a</v>
      </c>
      <c r="N11" s="14" t="n">
        <v>36</v>
      </c>
      <c r="O11" s="22" t="n">
        <f aca="false">IF($O$7*0_Key_Params!$B$6-F11-$O$7*0_Key_Params!$B$13&gt;0,($O$7*0_Key_Params!$B$6-F11-$O$7*0_Key_Params!$B$13)*1000000/N11,"— (weights exceed node)")</f>
        <v>23638888.8888889</v>
      </c>
      <c r="P11" s="4" t="s">
        <v>172</v>
      </c>
    </row>
    <row r="12" customFormat="false" ht="15" hidden="false" customHeight="false" outlineLevel="0" collapsed="false">
      <c r="A12" s="4" t="s">
        <v>214</v>
      </c>
      <c r="B12" s="4" t="s">
        <v>213</v>
      </c>
      <c r="C12" s="14" t="n">
        <v>235</v>
      </c>
      <c r="D12" s="14" t="n">
        <v>22</v>
      </c>
      <c r="E12" s="22" t="n">
        <f aca="false">C12*$E$4</f>
        <v>470</v>
      </c>
      <c r="F12" s="22" t="n">
        <f aca="false">C12*$G$4</f>
        <v>235</v>
      </c>
      <c r="G12" s="22" t="n">
        <f aca="false">C12*$I$4</f>
        <v>131.6</v>
      </c>
      <c r="H12" s="4" t="str">
        <f aca="false">IF(E12&lt;=H$7*0_Key_Params!$B$6*(1-0_Key_Params!$B$14),"BF16",IF(AND(0_Key_Params!$B$9=1,F12&lt;=H$7*0_Key_Params!$B$6*(1-0_Key_Params!$B$14)),"FP8",IF(AND(0_Key_Params!$B$8=1,G12&lt;=H$7*0_Key_Params!$B$6*(1-0_Key_Params!$B$14)),"FP4","—")))</f>
        <v>—</v>
      </c>
      <c r="I12" s="4" t="str">
        <f aca="false">IF(E12&lt;=I$7*0_Key_Params!$B$6*(1-0_Key_Params!$B$14),"BF16",IF(AND(0_Key_Params!$B$9=1,F12&lt;=I$7*0_Key_Params!$B$6*(1-0_Key_Params!$B$14)),"FP8",IF(AND(0_Key_Params!$B$8=1,G12&lt;=I$7*0_Key_Params!$B$6*(1-0_Key_Params!$B$14)),"FP4","—")))</f>
        <v>FP8</v>
      </c>
      <c r="J12" s="4" t="str">
        <f aca="false">IF(E12&lt;=J$7*0_Key_Params!$B$6*(1-0_Key_Params!$B$14),"BF16",IF(AND(0_Key_Params!$B$9=1,F12&lt;=J$7*0_Key_Params!$B$6*(1-0_Key_Params!$B$14)),"FP8",IF(AND(0_Key_Params!$B$8=1,G12&lt;=J$7*0_Key_Params!$B$6*(1-0_Key_Params!$B$14)),"FP4","—")))</f>
        <v>BF16</v>
      </c>
      <c r="K12" s="4" t="str">
        <f aca="false">IF(E12&lt;=K$7*0_Key_Params!$B$6*(1-0_Key_Params!$B$14),"BF16",IF(AND(0_Key_Params!$B$9=1,F12&lt;=K$7*0_Key_Params!$B$6*(1-0_Key_Params!$B$14)),"FP8",IF(AND(0_Key_Params!$B$8=1,G12&lt;=K$7*0_Key_Params!$B$6*(1-0_Key_Params!$B$14)),"FP4","—")))</f>
        <v>BF16</v>
      </c>
      <c r="L12" s="22" t="n">
        <f aca="false">0_Key_Params!$B$7/(D12*$G$4)</f>
        <v>218.181818181818</v>
      </c>
      <c r="M12" s="22" t="str">
        <f aca="false">IF(0_Key_Params!$B$8=1,0_Key_Params!$B$7/(D12*$I$4),"n/a")</f>
        <v>n/a</v>
      </c>
      <c r="N12" s="14" t="n">
        <v>94</v>
      </c>
      <c r="O12" s="22" t="n">
        <f aca="false">IF($O$7*0_Key_Params!$B$6-F12-$O$7*0_Key_Params!$B$13&gt;0,($O$7*0_Key_Params!$B$6-F12-$O$7*0_Key_Params!$B$13)*1000000/N12,"— (weights exceed node)")</f>
        <v>7797872.34042553</v>
      </c>
      <c r="P12" s="4" t="s">
        <v>172</v>
      </c>
    </row>
    <row r="13" customFormat="false" ht="15" hidden="false" customHeight="false" outlineLevel="0" collapsed="false">
      <c r="A13" s="4" t="s">
        <v>215</v>
      </c>
      <c r="B13" s="4" t="s">
        <v>126</v>
      </c>
      <c r="C13" s="14" t="n">
        <v>405</v>
      </c>
      <c r="D13" s="14" t="n">
        <v>405</v>
      </c>
      <c r="E13" s="22" t="n">
        <f aca="false">C13*$E$4</f>
        <v>810</v>
      </c>
      <c r="F13" s="22" t="n">
        <f aca="false">C13*$G$4</f>
        <v>405</v>
      </c>
      <c r="G13" s="22" t="n">
        <f aca="false">C13*$I$4</f>
        <v>226.8</v>
      </c>
      <c r="H13" s="4" t="str">
        <f aca="false">IF(E13&lt;=H$7*0_Key_Params!$B$6*(1-0_Key_Params!$B$14),"BF16",IF(AND(0_Key_Params!$B$9=1,F13&lt;=H$7*0_Key_Params!$B$6*(1-0_Key_Params!$B$14)),"FP8",IF(AND(0_Key_Params!$B$8=1,G13&lt;=H$7*0_Key_Params!$B$6*(1-0_Key_Params!$B$14)),"FP4","—")))</f>
        <v>—</v>
      </c>
      <c r="I13" s="4" t="str">
        <f aca="false">IF(E13&lt;=I$7*0_Key_Params!$B$6*(1-0_Key_Params!$B$14),"BF16",IF(AND(0_Key_Params!$B$9=1,F13&lt;=I$7*0_Key_Params!$B$6*(1-0_Key_Params!$B$14)),"FP8",IF(AND(0_Key_Params!$B$8=1,G13&lt;=I$7*0_Key_Params!$B$6*(1-0_Key_Params!$B$14)),"FP4","—")))</f>
        <v>—</v>
      </c>
      <c r="J13" s="4" t="str">
        <f aca="false">IF(E13&lt;=J$7*0_Key_Params!$B$6*(1-0_Key_Params!$B$14),"BF16",IF(AND(0_Key_Params!$B$9=1,F13&lt;=J$7*0_Key_Params!$B$6*(1-0_Key_Params!$B$14)),"FP8",IF(AND(0_Key_Params!$B$8=1,G13&lt;=J$7*0_Key_Params!$B$6*(1-0_Key_Params!$B$14)),"FP4","—")))</f>
        <v>FP8</v>
      </c>
      <c r="K13" s="4" t="str">
        <f aca="false">IF(E13&lt;=K$7*0_Key_Params!$B$6*(1-0_Key_Params!$B$14),"BF16",IF(AND(0_Key_Params!$B$9=1,F13&lt;=K$7*0_Key_Params!$B$6*(1-0_Key_Params!$B$14)),"FP8",IF(AND(0_Key_Params!$B$8=1,G13&lt;=K$7*0_Key_Params!$B$6*(1-0_Key_Params!$B$14)),"FP4","—")))</f>
        <v>BF16</v>
      </c>
      <c r="L13" s="22" t="n">
        <f aca="false">0_Key_Params!$B$7/(D13*$G$4)</f>
        <v>11.8518518518519</v>
      </c>
      <c r="M13" s="22" t="str">
        <f aca="false">IF(0_Key_Params!$B$8=1,0_Key_Params!$B$7/(D13*$I$4),"n/a")</f>
        <v>n/a</v>
      </c>
      <c r="N13" s="14" t="n">
        <v>252</v>
      </c>
      <c r="O13" s="22" t="n">
        <f aca="false">IF($O$7*0_Key_Params!$B$6-F13-$O$7*0_Key_Params!$B$13&gt;0,($O$7*0_Key_Params!$B$6-F13-$O$7*0_Key_Params!$B$13)*1000000/N13,"— (weights exceed node)")</f>
        <v>2234126.98412698</v>
      </c>
      <c r="P13" s="4" t="s">
        <v>172</v>
      </c>
    </row>
    <row r="14" customFormat="false" ht="15" hidden="false" customHeight="false" outlineLevel="0" collapsed="false">
      <c r="A14" s="4" t="s">
        <v>216</v>
      </c>
      <c r="B14" s="4" t="s">
        <v>217</v>
      </c>
      <c r="C14" s="14" t="n">
        <v>671</v>
      </c>
      <c r="D14" s="14" t="n">
        <v>37</v>
      </c>
      <c r="E14" s="22" t="n">
        <f aca="false">C14*$E$4</f>
        <v>1342</v>
      </c>
      <c r="F14" s="22" t="n">
        <f aca="false">C14*$G$4</f>
        <v>671</v>
      </c>
      <c r="G14" s="22" t="n">
        <f aca="false">C14*$I$4</f>
        <v>375.76</v>
      </c>
      <c r="H14" s="4" t="str">
        <f aca="false">IF(E14&lt;=H$7*0_Key_Params!$B$6*(1-0_Key_Params!$B$14),"BF16",IF(AND(0_Key_Params!$B$9=1,F14&lt;=H$7*0_Key_Params!$B$6*(1-0_Key_Params!$B$14)),"FP8",IF(AND(0_Key_Params!$B$8=1,G14&lt;=H$7*0_Key_Params!$B$6*(1-0_Key_Params!$B$14)),"FP4","—")))</f>
        <v>—</v>
      </c>
      <c r="I14" s="4" t="str">
        <f aca="false">IF(E14&lt;=I$7*0_Key_Params!$B$6*(1-0_Key_Params!$B$14),"BF16",IF(AND(0_Key_Params!$B$9=1,F14&lt;=I$7*0_Key_Params!$B$6*(1-0_Key_Params!$B$14)),"FP8",IF(AND(0_Key_Params!$B$8=1,G14&lt;=I$7*0_Key_Params!$B$6*(1-0_Key_Params!$B$14)),"FP4","—")))</f>
        <v>—</v>
      </c>
      <c r="J14" s="4" t="str">
        <f aca="false">IF(E14&lt;=J$7*0_Key_Params!$B$6*(1-0_Key_Params!$B$14),"BF16",IF(AND(0_Key_Params!$B$9=1,F14&lt;=J$7*0_Key_Params!$B$6*(1-0_Key_Params!$B$14)),"FP8",IF(AND(0_Key_Params!$B$8=1,G14&lt;=J$7*0_Key_Params!$B$6*(1-0_Key_Params!$B$14)),"FP4","—")))</f>
        <v>—</v>
      </c>
      <c r="K14" s="4" t="str">
        <f aca="false">IF(E14&lt;=K$7*0_Key_Params!$B$6*(1-0_Key_Params!$B$14),"BF16",IF(AND(0_Key_Params!$B$9=1,F14&lt;=K$7*0_Key_Params!$B$6*(1-0_Key_Params!$B$14)),"FP8",IF(AND(0_Key_Params!$B$8=1,G14&lt;=K$7*0_Key_Params!$B$6*(1-0_Key_Params!$B$14)),"FP4","—")))</f>
        <v>FP8</v>
      </c>
      <c r="L14" s="22" t="n">
        <f aca="false">0_Key_Params!$B$7/(D14*$G$4)</f>
        <v>129.72972972973</v>
      </c>
      <c r="M14" s="22" t="str">
        <f aca="false">IF(0_Key_Params!$B$8=1,0_Key_Params!$B$7/(D14*$I$4),"n/a")</f>
        <v>n/a</v>
      </c>
      <c r="N14" s="14" t="n">
        <v>34.5</v>
      </c>
      <c r="O14" s="22" t="n">
        <f aca="false">IF($O$7*0_Key_Params!$B$6-F14-$O$7*0_Key_Params!$B$13&gt;0,($O$7*0_Key_Params!$B$6-F14-$O$7*0_Key_Params!$B$13)*1000000/N14,"— (weights exceed node)")</f>
        <v>8608695.65217391</v>
      </c>
      <c r="P14" s="4" t="s">
        <v>172</v>
      </c>
    </row>
    <row r="15" customFormat="false" ht="23.85" hidden="false" customHeight="false" outlineLevel="0" collapsed="false">
      <c r="A15" s="4" t="s">
        <v>218</v>
      </c>
      <c r="B15" s="4" t="s">
        <v>217</v>
      </c>
      <c r="C15" s="14" t="n">
        <v>1000</v>
      </c>
      <c r="D15" s="14" t="n">
        <v>32</v>
      </c>
      <c r="E15" s="22" t="n">
        <f aca="false">C15*$E$4</f>
        <v>2000</v>
      </c>
      <c r="F15" s="22" t="n">
        <f aca="false">C15*$G$4</f>
        <v>1000</v>
      </c>
      <c r="G15" s="22" t="n">
        <f aca="false">C15*$I$4</f>
        <v>560</v>
      </c>
      <c r="H15" s="4" t="str">
        <f aca="false">IF(E15&lt;=H$7*0_Key_Params!$B$6*(1-0_Key_Params!$B$14),"BF16",IF(AND(0_Key_Params!$B$9=1,F15&lt;=H$7*0_Key_Params!$B$6*(1-0_Key_Params!$B$14)),"FP8",IF(AND(0_Key_Params!$B$8=1,G15&lt;=H$7*0_Key_Params!$B$6*(1-0_Key_Params!$B$14)),"FP4","—")))</f>
        <v>—</v>
      </c>
      <c r="I15" s="4" t="str">
        <f aca="false">IF(E15&lt;=I$7*0_Key_Params!$B$6*(1-0_Key_Params!$B$14),"BF16",IF(AND(0_Key_Params!$B$9=1,F15&lt;=I$7*0_Key_Params!$B$6*(1-0_Key_Params!$B$14)),"FP8",IF(AND(0_Key_Params!$B$8=1,G15&lt;=I$7*0_Key_Params!$B$6*(1-0_Key_Params!$B$14)),"FP4","—")))</f>
        <v>—</v>
      </c>
      <c r="J15" s="4" t="str">
        <f aca="false">IF(E15&lt;=J$7*0_Key_Params!$B$6*(1-0_Key_Params!$B$14),"BF16",IF(AND(0_Key_Params!$B$9=1,F15&lt;=J$7*0_Key_Params!$B$6*(1-0_Key_Params!$B$14)),"FP8",IF(AND(0_Key_Params!$B$8=1,G15&lt;=J$7*0_Key_Params!$B$6*(1-0_Key_Params!$B$14)),"FP4","—")))</f>
        <v>—</v>
      </c>
      <c r="K15" s="4" t="str">
        <f aca="false">IF(E15&lt;=K$7*0_Key_Params!$B$6*(1-0_Key_Params!$B$14),"BF16",IF(AND(0_Key_Params!$B$9=1,F15&lt;=K$7*0_Key_Params!$B$6*(1-0_Key_Params!$B$14)),"FP8",IF(AND(0_Key_Params!$B$8=1,G15&lt;=K$7*0_Key_Params!$B$6*(1-0_Key_Params!$B$14)),"FP4","—")))</f>
        <v>—</v>
      </c>
      <c r="L15" s="22" t="n">
        <f aca="false">0_Key_Params!$B$7/(D15*$G$4)</f>
        <v>150</v>
      </c>
      <c r="M15" s="22" t="str">
        <f aca="false">IF(0_Key_Params!$B$8=1,0_Key_Params!$B$7/(D15*$I$4),"n/a")</f>
        <v>n/a</v>
      </c>
      <c r="N15" s="14" t="n">
        <v>34.5</v>
      </c>
      <c r="O15" s="22" t="str">
        <f aca="false">IF($O$7*0_Key_Params!$B$6-F15-$O$7*0_Key_Params!$B$13&gt;0,($O$7*0_Key_Params!$B$6-F15-$O$7*0_Key_Params!$B$13)*1000000/N15,"— (weights exceed node)")</f>
        <v>— (weights exceed node)</v>
      </c>
      <c r="P15" s="4" t="s">
        <v>172</v>
      </c>
    </row>
    <row r="17" customFormat="false" ht="51.75" hidden="false" customHeight="true" outlineLevel="0" collapsed="false">
      <c r="A17" s="19" t="s">
        <v>219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</sheetData>
  <mergeCells count="2">
    <mergeCell ref="A4:C4"/>
    <mergeCell ref="A17:P17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220</v>
      </c>
    </row>
    <row r="3" customFormat="false" ht="15" hidden="false" customHeight="false" outlineLevel="0" collapsed="false">
      <c r="A3" s="3" t="s">
        <v>221</v>
      </c>
      <c r="B3" s="3" t="s">
        <v>222</v>
      </c>
      <c r="C3" s="3" t="s">
        <v>4</v>
      </c>
      <c r="D3" s="3" t="s">
        <v>45</v>
      </c>
    </row>
    <row r="4" customFormat="false" ht="15" hidden="false" customHeight="false" outlineLevel="0" collapsed="false">
      <c r="A4" s="4" t="s">
        <v>223</v>
      </c>
      <c r="B4" s="4" t="s">
        <v>224</v>
      </c>
      <c r="C4" s="6" t="s">
        <v>11</v>
      </c>
      <c r="D4" s="4" t="s">
        <v>74</v>
      </c>
    </row>
    <row r="5" customFormat="false" ht="15" hidden="false" customHeight="false" outlineLevel="0" collapsed="false">
      <c r="A5" s="4" t="s">
        <v>225</v>
      </c>
      <c r="B5" s="4" t="s">
        <v>226</v>
      </c>
      <c r="C5" s="5" t="s">
        <v>8</v>
      </c>
      <c r="D5" s="4"/>
    </row>
    <row r="6" customFormat="false" ht="15" hidden="false" customHeight="false" outlineLevel="0" collapsed="false">
      <c r="A6" s="4" t="s">
        <v>227</v>
      </c>
      <c r="B6" s="4" t="s">
        <v>228</v>
      </c>
      <c r="C6" s="5" t="s">
        <v>8</v>
      </c>
      <c r="D6" s="4"/>
    </row>
    <row r="7" customFormat="false" ht="15" hidden="false" customHeight="false" outlineLevel="0" collapsed="false">
      <c r="A7" s="4" t="s">
        <v>229</v>
      </c>
      <c r="B7" s="4" t="s">
        <v>230</v>
      </c>
      <c r="C7" s="5" t="s">
        <v>8</v>
      </c>
      <c r="D7" s="4"/>
    </row>
    <row r="9" customFormat="false" ht="15" hidden="false" customHeight="false" outlineLevel="0" collapsed="false">
      <c r="A9" s="9" t="s">
        <v>231</v>
      </c>
      <c r="B9" s="10"/>
      <c r="C9" s="10"/>
      <c r="D9" s="10"/>
    </row>
    <row r="10" customFormat="false" ht="15" hidden="false" customHeight="false" outlineLevel="0" collapsed="false">
      <c r="A10" s="3" t="s">
        <v>232</v>
      </c>
      <c r="B10" s="3" t="s">
        <v>233</v>
      </c>
      <c r="C10" s="3" t="s">
        <v>4</v>
      </c>
      <c r="D10" s="3" t="s">
        <v>234</v>
      </c>
    </row>
    <row r="11" customFormat="false" ht="46.25" hidden="false" customHeight="false" outlineLevel="0" collapsed="false">
      <c r="A11" s="4" t="s">
        <v>235</v>
      </c>
      <c r="B11" s="20" t="n">
        <f aca="false">16*16*(128/130)/8</f>
        <v>31.5076923076923</v>
      </c>
      <c r="C11" s="5" t="s">
        <v>8</v>
      </c>
      <c r="D11" s="4" t="s">
        <v>236</v>
      </c>
    </row>
    <row r="12" customFormat="false" ht="46.25" hidden="false" customHeight="false" outlineLevel="0" collapsed="false">
      <c r="A12" s="4" t="s">
        <v>237</v>
      </c>
      <c r="B12" s="20" t="n">
        <f aca="false">32*16*(128/130)/8</f>
        <v>63.0153846153846</v>
      </c>
      <c r="C12" s="5" t="s">
        <v>8</v>
      </c>
      <c r="D12" s="4" t="s">
        <v>236</v>
      </c>
    </row>
    <row r="13" customFormat="false" ht="46.25" hidden="false" customHeight="false" outlineLevel="0" collapsed="false">
      <c r="A13" s="4" t="s">
        <v>238</v>
      </c>
      <c r="B13" s="20" t="n">
        <f aca="false">64*16*(242/256)/8</f>
        <v>121</v>
      </c>
      <c r="C13" s="5" t="s">
        <v>8</v>
      </c>
      <c r="D13" s="4" t="s">
        <v>236</v>
      </c>
    </row>
    <row r="14" customFormat="false" ht="23.85" hidden="false" customHeight="false" outlineLevel="0" collapsed="false">
      <c r="A14" s="4" t="s">
        <v>239</v>
      </c>
      <c r="B14" s="20" t="n">
        <f aca="false">800/8</f>
        <v>100</v>
      </c>
      <c r="C14" s="5" t="s">
        <v>8</v>
      </c>
      <c r="D14" s="4" t="s">
        <v>240</v>
      </c>
    </row>
    <row r="15" customFormat="false" ht="15" hidden="false" customHeight="false" outlineLevel="0" collapsed="false">
      <c r="A15" s="4" t="s">
        <v>241</v>
      </c>
      <c r="B15" s="20" t="n">
        <f aca="false">400/8</f>
        <v>50</v>
      </c>
      <c r="C15" s="5" t="s">
        <v>8</v>
      </c>
      <c r="D15" s="4" t="s">
        <v>242</v>
      </c>
    </row>
    <row r="16" customFormat="false" ht="15" hidden="false" customHeight="false" outlineLevel="0" collapsed="false">
      <c r="A16" s="4" t="s">
        <v>243</v>
      </c>
      <c r="B16" s="4" t="n">
        <f aca="false">IF(0_Key_Params!$B$12=0,"none",0_Key_Params!$B$12)</f>
        <v>900</v>
      </c>
      <c r="C16" s="6" t="s">
        <v>11</v>
      </c>
      <c r="D16" s="4" t="s">
        <v>244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245</v>
      </c>
    </row>
    <row r="2" customFormat="false" ht="15" hidden="false" customHeight="false" outlineLevel="0" collapsed="false">
      <c r="A2" s="2" t="s">
        <v>246</v>
      </c>
    </row>
    <row r="4" customFormat="false" ht="15" hidden="false" customHeight="false" outlineLevel="0" collapsed="false">
      <c r="A4" s="3" t="s">
        <v>247</v>
      </c>
      <c r="B4" s="3" t="s">
        <v>248</v>
      </c>
      <c r="C4" s="3" t="s">
        <v>4</v>
      </c>
      <c r="D4" s="3" t="s">
        <v>45</v>
      </c>
    </row>
    <row r="5" customFormat="false" ht="15" hidden="false" customHeight="false" outlineLevel="0" collapsed="false">
      <c r="A5" s="4" t="s">
        <v>249</v>
      </c>
      <c r="B5" s="4" t="s">
        <v>250</v>
      </c>
      <c r="C5" s="6" t="s">
        <v>11</v>
      </c>
      <c r="D5" s="4" t="s">
        <v>71</v>
      </c>
    </row>
    <row r="6" customFormat="false" ht="15" hidden="false" customHeight="false" outlineLevel="0" collapsed="false">
      <c r="A6" s="4" t="s">
        <v>251</v>
      </c>
      <c r="B6" s="4" t="s">
        <v>252</v>
      </c>
      <c r="C6" s="6" t="s">
        <v>11</v>
      </c>
      <c r="D6" s="4" t="s">
        <v>71</v>
      </c>
    </row>
    <row r="7" customFormat="false" ht="15" hidden="false" customHeight="false" outlineLevel="0" collapsed="false">
      <c r="A7" s="4" t="s">
        <v>93</v>
      </c>
      <c r="B7" s="4" t="s">
        <v>253</v>
      </c>
      <c r="C7" s="6" t="s">
        <v>11</v>
      </c>
      <c r="D7" s="4" t="s">
        <v>71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254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3" t="s">
        <v>256</v>
      </c>
      <c r="B4" s="3" t="s">
        <v>3</v>
      </c>
      <c r="C4" s="3" t="s">
        <v>4</v>
      </c>
      <c r="D4" s="3" t="s">
        <v>257</v>
      </c>
    </row>
    <row r="5" customFormat="false" ht="15" hidden="false" customHeight="false" outlineLevel="0" collapsed="false">
      <c r="A5" s="4" t="s">
        <v>258</v>
      </c>
      <c r="B5" s="4" t="n">
        <f aca="false">0_Key_Params!$B$10</f>
        <v>8</v>
      </c>
      <c r="C5" s="12" t="s">
        <v>35</v>
      </c>
      <c r="D5" s="4" t="s">
        <v>259</v>
      </c>
    </row>
    <row r="6" customFormat="false" ht="15" hidden="false" customHeight="false" outlineLevel="0" collapsed="false">
      <c r="A6" s="4" t="s">
        <v>260</v>
      </c>
      <c r="B6" s="4" t="n">
        <f aca="false">0_Key_Params!$B$10*16</f>
        <v>128</v>
      </c>
      <c r="C6" s="5" t="s">
        <v>8</v>
      </c>
      <c r="D6" s="4" t="s">
        <v>261</v>
      </c>
    </row>
    <row r="7" customFormat="false" ht="15" hidden="false" customHeight="false" outlineLevel="0" collapsed="false">
      <c r="A7" s="4" t="s">
        <v>262</v>
      </c>
      <c r="B7" s="4" t="n">
        <v>176</v>
      </c>
      <c r="C7" s="6" t="s">
        <v>11</v>
      </c>
      <c r="D7" s="4" t="s">
        <v>263</v>
      </c>
    </row>
    <row r="8" customFormat="false" ht="15" hidden="false" customHeight="false" outlineLevel="0" collapsed="false">
      <c r="A8" s="4" t="s">
        <v>264</v>
      </c>
      <c r="B8" s="22" t="n">
        <f aca="false">2*0_Key_Params!$B$10*0_Key_Params!$B$6</f>
        <v>2256</v>
      </c>
      <c r="C8" s="5" t="s">
        <v>8</v>
      </c>
      <c r="D8" s="4" t="s">
        <v>265</v>
      </c>
    </row>
    <row r="9" customFormat="false" ht="15" hidden="false" customHeight="false" outlineLevel="0" collapsed="false">
      <c r="A9" s="4" t="s">
        <v>266</v>
      </c>
      <c r="B9" s="4" t="n">
        <f aca="false">ROUNDUP(B8/128,0)</f>
        <v>18</v>
      </c>
      <c r="C9" s="5" t="s">
        <v>8</v>
      </c>
      <c r="D9" s="4" t="s">
        <v>267</v>
      </c>
    </row>
    <row r="11" customFormat="false" ht="15" hidden="false" customHeight="false" outlineLevel="0" collapsed="false">
      <c r="A11" s="9" t="s">
        <v>268</v>
      </c>
      <c r="B11" s="10"/>
      <c r="C11" s="10"/>
      <c r="D11" s="10"/>
    </row>
    <row r="12" customFormat="false" ht="15" hidden="false" customHeight="false" outlineLevel="0" collapsed="false">
      <c r="A12" s="3" t="s">
        <v>269</v>
      </c>
      <c r="B12" s="3" t="s">
        <v>270</v>
      </c>
      <c r="C12" s="3" t="s">
        <v>271</v>
      </c>
      <c r="D12" s="3" t="s">
        <v>272</v>
      </c>
    </row>
    <row r="13" customFormat="false" ht="23.85" hidden="false" customHeight="false" outlineLevel="0" collapsed="false">
      <c r="A13" s="4" t="s">
        <v>273</v>
      </c>
      <c r="B13" s="4" t="s">
        <v>274</v>
      </c>
      <c r="C13" s="4" t="s">
        <v>275</v>
      </c>
      <c r="D13" s="4" t="s">
        <v>276</v>
      </c>
    </row>
    <row r="14" customFormat="false" ht="23.85" hidden="false" customHeight="false" outlineLevel="0" collapsed="false">
      <c r="A14" s="4" t="s">
        <v>277</v>
      </c>
      <c r="B14" s="4" t="s">
        <v>278</v>
      </c>
      <c r="C14" s="4" t="s">
        <v>275</v>
      </c>
      <c r="D14" s="4" t="s">
        <v>276</v>
      </c>
    </row>
    <row r="15" customFormat="false" ht="23.85" hidden="false" customHeight="false" outlineLevel="0" collapsed="false">
      <c r="A15" s="4" t="s">
        <v>279</v>
      </c>
      <c r="B15" s="4" t="s">
        <v>280</v>
      </c>
      <c r="C15" s="4" t="s">
        <v>281</v>
      </c>
      <c r="D15" s="4" t="s">
        <v>282</v>
      </c>
    </row>
    <row r="16" customFormat="false" ht="23.85" hidden="false" customHeight="false" outlineLevel="0" collapsed="false">
      <c r="A16" s="4" t="s">
        <v>283</v>
      </c>
      <c r="B16" s="4" t="s">
        <v>284</v>
      </c>
      <c r="C16" s="4" t="s">
        <v>275</v>
      </c>
      <c r="D16" s="4" t="s">
        <v>276</v>
      </c>
    </row>
    <row r="17" customFormat="false" ht="23.85" hidden="false" customHeight="false" outlineLevel="0" collapsed="false">
      <c r="A17" s="4" t="s">
        <v>285</v>
      </c>
      <c r="B17" s="4" t="s">
        <v>280</v>
      </c>
      <c r="C17" s="4" t="s">
        <v>281</v>
      </c>
      <c r="D17" s="4" t="s">
        <v>282</v>
      </c>
    </row>
    <row r="18" customFormat="false" ht="23.85" hidden="false" customHeight="false" outlineLevel="0" collapsed="false">
      <c r="A18" s="4" t="s">
        <v>286</v>
      </c>
      <c r="B18" s="4" t="s">
        <v>284</v>
      </c>
      <c r="C18" s="4" t="s">
        <v>275</v>
      </c>
      <c r="D18" s="4" t="s">
        <v>276</v>
      </c>
    </row>
    <row r="20" customFormat="false" ht="25.5" hidden="false" customHeight="true" outlineLevel="0" collapsed="false">
      <c r="A20" s="19" t="s">
        <v>287</v>
      </c>
      <c r="B20" s="19"/>
      <c r="C20" s="19"/>
      <c r="D20" s="19"/>
    </row>
  </sheetData>
  <mergeCells count="1">
    <mergeCell ref="A20:D20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288</v>
      </c>
    </row>
    <row r="3" customFormat="false" ht="15" hidden="false" customHeight="false" outlineLevel="0" collapsed="false">
      <c r="A3" s="3" t="s">
        <v>289</v>
      </c>
      <c r="B3" s="3" t="s">
        <v>290</v>
      </c>
      <c r="C3" s="3" t="s">
        <v>291</v>
      </c>
    </row>
    <row r="4" customFormat="false" ht="15" hidden="false" customHeight="false" outlineLevel="0" collapsed="false">
      <c r="A4" s="4" t="s">
        <v>292</v>
      </c>
      <c r="B4" s="4" t="s">
        <v>293</v>
      </c>
      <c r="C4" s="4" t="s">
        <v>294</v>
      </c>
    </row>
    <row r="5" customFormat="false" ht="15" hidden="false" customHeight="false" outlineLevel="0" collapsed="false">
      <c r="A5" s="4" t="s">
        <v>295</v>
      </c>
      <c r="B5" s="4" t="s">
        <v>293</v>
      </c>
      <c r="C5" s="4" t="s">
        <v>296</v>
      </c>
    </row>
    <row r="6" customFormat="false" ht="15" hidden="false" customHeight="false" outlineLevel="0" collapsed="false">
      <c r="A6" s="4" t="s">
        <v>297</v>
      </c>
      <c r="B6" s="4" t="s">
        <v>293</v>
      </c>
      <c r="C6" s="4" t="s">
        <v>298</v>
      </c>
    </row>
    <row r="7" customFormat="false" ht="15" hidden="false" customHeight="false" outlineLevel="0" collapsed="false">
      <c r="A7" s="4" t="s">
        <v>299</v>
      </c>
      <c r="B7" s="4" t="s">
        <v>300</v>
      </c>
      <c r="C7" s="4" t="s">
        <v>301</v>
      </c>
    </row>
    <row r="8" customFormat="false" ht="15" hidden="false" customHeight="false" outlineLevel="0" collapsed="false">
      <c r="A8" s="4" t="s">
        <v>302</v>
      </c>
      <c r="B8" s="4" t="s">
        <v>303</v>
      </c>
      <c r="C8" s="4" t="s">
        <v>304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305</v>
      </c>
    </row>
    <row r="2" customFormat="false" ht="15" hidden="false" customHeight="false" outlineLevel="0" collapsed="false">
      <c r="A2" s="2" t="s">
        <v>306</v>
      </c>
    </row>
    <row r="4" customFormat="false" ht="15" hidden="false" customHeight="false" outlineLevel="0" collapsed="false">
      <c r="A4" s="3" t="s">
        <v>307</v>
      </c>
      <c r="B4" s="3" t="s">
        <v>308</v>
      </c>
      <c r="C4" s="3" t="s">
        <v>309</v>
      </c>
      <c r="D4" s="3" t="s">
        <v>310</v>
      </c>
    </row>
    <row r="5" customFormat="false" ht="23.85" hidden="false" customHeight="false" outlineLevel="0" collapsed="false">
      <c r="A5" s="4" t="n">
        <v>1</v>
      </c>
      <c r="B5" s="4" t="s">
        <v>311</v>
      </c>
      <c r="C5" s="4" t="s">
        <v>312</v>
      </c>
      <c r="D5" s="4" t="s">
        <v>313</v>
      </c>
    </row>
    <row r="6" customFormat="false" ht="15" hidden="false" customHeight="false" outlineLevel="0" collapsed="false">
      <c r="A6" s="4" t="n">
        <v>2</v>
      </c>
      <c r="B6" s="4" t="s">
        <v>314</v>
      </c>
      <c r="C6" s="4" t="s">
        <v>315</v>
      </c>
      <c r="D6" s="4" t="s">
        <v>316</v>
      </c>
    </row>
    <row r="7" customFormat="false" ht="15" hidden="false" customHeight="false" outlineLevel="0" collapsed="false">
      <c r="A7" s="4" t="n">
        <v>3</v>
      </c>
      <c r="B7" s="4" t="s">
        <v>317</v>
      </c>
      <c r="C7" s="4" t="s">
        <v>318</v>
      </c>
      <c r="D7" s="4" t="s">
        <v>319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320</v>
      </c>
    </row>
    <row r="2" customFormat="false" ht="15" hidden="false" customHeight="false" outlineLevel="0" collapsed="false">
      <c r="A2" s="2" t="s">
        <v>321</v>
      </c>
    </row>
    <row r="4" customFormat="false" ht="15" hidden="false" customHeight="false" outlineLevel="0" collapsed="false">
      <c r="A4" s="3" t="s">
        <v>322</v>
      </c>
      <c r="B4" s="3" t="s">
        <v>5</v>
      </c>
      <c r="C4" s="3" t="s">
        <v>323</v>
      </c>
      <c r="D4" s="3" t="s">
        <v>324</v>
      </c>
    </row>
    <row r="5" customFormat="false" ht="15" hidden="false" customHeight="false" outlineLevel="0" collapsed="false">
      <c r="A5" s="4" t="s">
        <v>176</v>
      </c>
      <c r="B5" s="4" t="s">
        <v>325</v>
      </c>
      <c r="C5" s="4" t="s">
        <v>326</v>
      </c>
      <c r="D5" s="6" t="s">
        <v>11</v>
      </c>
    </row>
    <row r="6" customFormat="false" ht="15" hidden="false" customHeight="false" outlineLevel="0" collapsed="false">
      <c r="A6" s="4" t="s">
        <v>327</v>
      </c>
      <c r="B6" s="4" t="s">
        <v>328</v>
      </c>
      <c r="C6" s="4" t="s">
        <v>329</v>
      </c>
      <c r="D6" s="6" t="s">
        <v>11</v>
      </c>
    </row>
    <row r="7" customFormat="false" ht="15" hidden="false" customHeight="false" outlineLevel="0" collapsed="false">
      <c r="A7" s="4" t="s">
        <v>170</v>
      </c>
      <c r="B7" s="4" t="s">
        <v>330</v>
      </c>
      <c r="C7" s="4" t="s">
        <v>331</v>
      </c>
      <c r="D7" s="6" t="s">
        <v>11</v>
      </c>
    </row>
    <row r="8" customFormat="false" ht="15" hidden="false" customHeight="false" outlineLevel="0" collapsed="false">
      <c r="A8" s="4" t="s">
        <v>71</v>
      </c>
      <c r="B8" s="4" t="s">
        <v>332</v>
      </c>
      <c r="C8" s="4" t="s">
        <v>333</v>
      </c>
      <c r="D8" s="6" t="s">
        <v>11</v>
      </c>
    </row>
    <row r="9" customFormat="false" ht="23.85" hidden="false" customHeight="false" outlineLevel="0" collapsed="false">
      <c r="A9" s="4" t="s">
        <v>74</v>
      </c>
      <c r="B9" s="4" t="s">
        <v>334</v>
      </c>
      <c r="C9" s="4" t="s">
        <v>335</v>
      </c>
      <c r="D9" s="6" t="s">
        <v>11</v>
      </c>
    </row>
    <row r="10" customFormat="false" ht="15" hidden="false" customHeight="false" outlineLevel="0" collapsed="false">
      <c r="A10" s="4" t="s">
        <v>117</v>
      </c>
      <c r="B10" s="4" t="s">
        <v>336</v>
      </c>
      <c r="C10" s="4" t="s">
        <v>337</v>
      </c>
      <c r="D10" s="11" t="s">
        <v>31</v>
      </c>
    </row>
    <row r="11" customFormat="false" ht="15" hidden="false" customHeight="false" outlineLevel="0" collapsed="false">
      <c r="A11" s="4" t="s">
        <v>86</v>
      </c>
      <c r="B11" s="4" t="s">
        <v>338</v>
      </c>
      <c r="C11" s="4" t="s">
        <v>339</v>
      </c>
      <c r="D11" s="11" t="s">
        <v>31</v>
      </c>
    </row>
    <row r="12" customFormat="false" ht="23.85" hidden="false" customHeight="false" outlineLevel="0" collapsed="false">
      <c r="A12" s="4" t="s">
        <v>172</v>
      </c>
      <c r="B12" s="4" t="s">
        <v>340</v>
      </c>
      <c r="C12" s="4" t="s">
        <v>341</v>
      </c>
      <c r="D12" s="5" t="s">
        <v>8</v>
      </c>
    </row>
    <row r="13" customFormat="false" ht="23.85" hidden="false" customHeight="false" outlineLevel="0" collapsed="false">
      <c r="A13" s="4" t="s">
        <v>14</v>
      </c>
      <c r="B13" s="4" t="s">
        <v>342</v>
      </c>
      <c r="C13" s="4" t="s">
        <v>343</v>
      </c>
      <c r="D13" s="6" t="s">
        <v>11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344</v>
      </c>
    </row>
    <row r="2" customFormat="false" ht="15" hidden="false" customHeight="false" outlineLevel="0" collapsed="false">
      <c r="A2" s="2" t="s">
        <v>345</v>
      </c>
    </row>
    <row r="4" customFormat="false" ht="15" hidden="false" customHeight="false" outlineLevel="0" collapsed="false">
      <c r="A4" s="29" t="s">
        <v>346</v>
      </c>
    </row>
    <row r="5" customFormat="false" ht="15" hidden="false" customHeight="false" outlineLevel="0" collapsed="false">
      <c r="A5" s="29" t="s">
        <v>347</v>
      </c>
    </row>
    <row r="6" customFormat="false" ht="15" hidden="false" customHeight="false" outlineLevel="0" collapsed="false">
      <c r="A6" s="29" t="s">
        <v>348</v>
      </c>
    </row>
    <row r="7" customFormat="false" ht="15" hidden="false" customHeight="false" outlineLevel="0" collapsed="false">
      <c r="A7" s="29" t="s">
        <v>349</v>
      </c>
    </row>
    <row r="8" customFormat="false" ht="15" hidden="false" customHeight="false" outlineLevel="0" collapsed="false">
      <c r="A8" s="29" t="s">
        <v>350</v>
      </c>
    </row>
    <row r="9" customFormat="false" ht="15" hidden="false" customHeight="false" outlineLevel="0" collapsed="false">
      <c r="A9" s="29" t="s">
        <v>351</v>
      </c>
    </row>
    <row r="10" customFormat="false" ht="15" hidden="false" customHeight="false" outlineLevel="0" collapsed="false">
      <c r="A10" s="29" t="s">
        <v>352</v>
      </c>
    </row>
    <row r="11" customFormat="false" ht="15" hidden="false" customHeight="false" outlineLevel="0" collapsed="false">
      <c r="A11" s="29" t="s">
        <v>353</v>
      </c>
    </row>
    <row r="12" customFormat="false" ht="15" hidden="false" customHeight="false" outlineLevel="0" collapsed="false">
      <c r="A12" s="29" t="s">
        <v>354</v>
      </c>
    </row>
    <row r="13" customFormat="false" ht="15" hidden="false" customHeight="false" outlineLevel="0" collapsed="false">
      <c r="A13" s="29" t="s">
        <v>355</v>
      </c>
    </row>
    <row r="14" customFormat="false" ht="15" hidden="false" customHeight="false" outlineLevel="0" collapsed="false">
      <c r="A14" s="29" t="s">
        <v>356</v>
      </c>
    </row>
    <row r="15" customFormat="false" ht="15" hidden="false" customHeight="false" outlineLevel="0" collapsed="false">
      <c r="A15" s="29" t="s">
        <v>357</v>
      </c>
    </row>
    <row r="16" customFormat="false" ht="15" hidden="false" customHeight="false" outlineLevel="0" collapsed="false">
      <c r="A16" s="29" t="s">
        <v>358</v>
      </c>
    </row>
    <row r="17" customFormat="false" ht="15" hidden="false" customHeight="false" outlineLevel="0" collapsed="false">
      <c r="A17" s="29" t="s">
        <v>359</v>
      </c>
    </row>
    <row r="18" customFormat="false" ht="15" hidden="false" customHeight="false" outlineLevel="0" collapsed="false">
      <c r="A18" s="29" t="s">
        <v>360</v>
      </c>
    </row>
    <row r="19" customFormat="false" ht="15" hidden="false" customHeight="false" outlineLevel="0" collapsed="false">
      <c r="A19" s="29" t="s">
        <v>361</v>
      </c>
    </row>
    <row r="20" customFormat="false" ht="15" hidden="false" customHeight="false" outlineLevel="0" collapsed="false">
      <c r="A20" s="29" t="s">
        <v>362</v>
      </c>
    </row>
    <row r="21" customFormat="false" ht="15" hidden="false" customHeight="false" outlineLevel="0" collapsed="false">
      <c r="A21" s="29" t="s">
        <v>363</v>
      </c>
    </row>
    <row r="22" customFormat="false" ht="15" hidden="false" customHeight="false" outlineLevel="0" collapsed="false">
      <c r="A22" s="29" t="s">
        <v>364</v>
      </c>
    </row>
    <row r="23" customFormat="false" ht="15" hidden="false" customHeight="false" outlineLevel="0" collapsed="false">
      <c r="A23" s="29" t="s">
        <v>365</v>
      </c>
    </row>
    <row r="24" customFormat="false" ht="15" hidden="false" customHeight="false" outlineLevel="0" collapsed="false">
      <c r="A24" s="29" t="s">
        <v>366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2026-09-26T03:14:03Z</dcterms:created>
  <dc:creator>openpyxl</dc:creator>
  <dc:description/>
  <dc:language>en-US</dc:language>
  <cp:lastModifiedBy/>
  <dcterms:modified xsi:type="dcterms:W3CDTF">2026-09-26T03:14:03Z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