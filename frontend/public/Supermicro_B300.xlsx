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_System_Spec" sheetId="2" state="visible" r:id="rId4"/>
    <sheet name="2_Components" sheetId="3" state="visible" r:id="rId5"/>
    <sheet name="3_Power_Rules" sheetId="4" state="visible" r:id="rId6"/>
    <sheet name="4_Power_Budget" sheetId="5" state="visible" r:id="rId7"/>
    <sheet name="5_Host_CPU_Map" sheetId="6" state="visible" r:id="rId8"/>
    <sheet name="Open_Questions" sheetId="7" state="visible" r:id="rId9"/>
    <sheet name="Sources" sheetId="8" state="visible" r:id="rId10"/>
    <sheet name="Planner_YAM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<sst xmlns="http://schemas.openxmlformats.org/spreadsheetml/2006/main" count="560" uniqueCount="310">
  <si>
    <t xml:space="preserve">Supermicro × NVIDIA HGX B300 — System Reference</t>
  </si>
  <si>
    <t xml:space="preserve">OEM system options for the High-end tier · Xeon 6-hosted designs · Compiled 25 September 2026</t>
  </si>
  <si>
    <t xml:space="preserve">Attribute</t>
  </si>
  <si>
    <t xml:space="preserve">Value</t>
  </si>
  <si>
    <t xml:space="preserve">Tag</t>
  </si>
  <si>
    <t xml:space="preserve">Source</t>
  </si>
  <si>
    <t xml:space="preserve">GPU</t>
  </si>
  <si>
    <t xml:space="preserve">NVIDIA HGX B300</t>
  </si>
  <si>
    <t xml:space="preserve">[I]</t>
  </si>
  <si>
    <t xml:space="preserve">Tier</t>
  </si>
  <si>
    <t xml:space="preserve">High-end</t>
  </si>
  <si>
    <t xml:space="preserve">[D]</t>
  </si>
  <si>
    <t xml:space="preserve">System(s)</t>
  </si>
  <si>
    <t xml:space="preserve">SYS-822GS-NB3RT</t>
  </si>
  <si>
    <t xml:space="preserve">Host socket / series</t>
  </si>
  <si>
    <t xml:space="preserve">SYS-822GS-NB3RT: LGA-4710 (Socket E2) (Xeon 6700P (P-cores))</t>
  </si>
  <si>
    <t xml:space="preserve">GPU silicon reference</t>
  </si>
  <si>
    <t xml:space="preserve">NVIDIA_B300_Reference.xlsx</t>
  </si>
  <si>
    <t xml:space="preserve">Host CPU reference</t>
  </si>
  <si>
    <t xml:space="preserve">Intel_Xeon6_Workload_SKU_Recommendations.xlsx rows 71-82 (see 5_Host_CPU_Map)</t>
  </si>
  <si>
    <t xml:space="preserve">X5</t>
  </si>
  <si>
    <t xml:space="preserve">Cross-OEM comparison</t>
  </si>
  <si>
    <t xml:space="preserve">NVIDIA_Enterprise_GPU_Index.xlsx</t>
  </si>
  <si>
    <t xml:space="preserve">POSITIONING</t>
  </si>
  <si>
    <t xml:space="preserve">Supermicro's air-cooled Xeon HGX B300 (8U) with published 3+3 × 6600 W — the most power headroom of the air-cooled B300 nodes here. A Gold Series build ships in 24 h per Supermicro.</t>
  </si>
  <si>
    <t xml:space="preserve">Power at a glance (live links to 4_Power_Budget)</t>
  </si>
  <si>
    <t xml:space="preserve">Scenario</t>
  </si>
  <si>
    <t xml:space="preserve">Est. max DC load (W)</t>
  </si>
  <si>
    <t xml:space="preserve">PSU redundant output (W)</t>
  </si>
  <si>
    <t xml:space="preserve">Status</t>
  </si>
  <si>
    <t xml:space="preserve">8× B300 · 6× 6600 W (3+3)</t>
  </si>
  <si>
    <t xml:space="preserve">Provenance discipline</t>
  </si>
  <si>
    <t xml:space="preserve">Meaning</t>
  </si>
  <si>
    <t xml:space="preserve">Confidence</t>
  </si>
  <si>
    <t xml:space="preserve">Use in planning</t>
  </si>
  <si>
    <t xml:space="preserve">Vendor-published (NVIDIA datasheet/product page, OEM spec sheet, QuickSpecs, product guide)</t>
  </si>
  <si>
    <t xml:space="preserve">High</t>
  </si>
  <si>
    <t xml:space="preserve">Plan against</t>
  </si>
  <si>
    <t xml:space="preserve">Derived here by stated arithmetic from [I] values (formula visible in cell)</t>
  </si>
  <si>
    <t xml:space="preserve">Medium-High</t>
  </si>
  <si>
    <t xml:space="preserve">Use; check formula</t>
  </si>
  <si>
    <t xml:space="preserve">[3P]</t>
  </si>
  <si>
    <t xml:space="preserve">Third-party measurement, reseller listing or press arithmetic</t>
  </si>
  <si>
    <t xml:space="preserve">Medium</t>
  </si>
  <si>
    <t xml:space="preserve">Cross-check before bid</t>
  </si>
  <si>
    <t xml:space="preserve">[U]</t>
  </si>
  <si>
    <t xml:space="preserve">Unpublished / unverified / planning assumption (editable input)</t>
  </si>
  <si>
    <t xml:space="preserve">Low</t>
  </si>
  <si>
    <t xml:space="preserve">Replace with OEM calculator output</t>
  </si>
  <si>
    <t xml:space="preserve">[N]</t>
  </si>
  <si>
    <t xml:space="preserve">Not applicable / not supported</t>
  </si>
  <si>
    <t xml:space="preserve">-</t>
  </si>
  <si>
    <t xml:space="preserve">1 · System specifications</t>
  </si>
  <si>
    <t xml:space="preserve">One block per chassis. Conflicts between sources are shown side-by-side, not resolved silently.</t>
  </si>
  <si>
    <t xml:space="preserve">SYS-822GS-NB3RT  (Supermicro)</t>
  </si>
  <si>
    <t xml:space="preserve">System</t>
  </si>
  <si>
    <t xml:space="preserve">Section</t>
  </si>
  <si>
    <t xml:space="preserve">Parameter</t>
  </si>
  <si>
    <t xml:space="preserve">Src</t>
  </si>
  <si>
    <t xml:space="preserve">Identity</t>
  </si>
  <si>
    <t xml:space="preserve">Model</t>
  </si>
  <si>
    <t xml:space="preserve">Supermicro GPU SuperServer SYS-822GS-NB3RT (X14); Gold Series SYS-822GS-NB3RT-01-G2</t>
  </si>
  <si>
    <t xml:space="preserve">S1</t>
  </si>
  <si>
    <t xml:space="preserve">Form factor</t>
  </si>
  <si>
    <t xml:space="preserve">8U rackmount, air-cooled, front I/O</t>
  </si>
  <si>
    <t xml:space="preserve">Processor</t>
  </si>
  <si>
    <t xml:space="preserve">CPU</t>
  </si>
  <si>
    <t xml:space="preserve">Dual Intel Xeon 6700 series with P-cores, ≤350 W TDP (store copy says 'up to 128 cores' - conflicts with 86C max for 6700P)</t>
  </si>
  <si>
    <t xml:space="preserve">Memory</t>
  </si>
  <si>
    <t xml:space="preserve">Slots / max</t>
  </si>
  <si>
    <t xml:space="preserve">32 DDR5 RDIMM; up to 8 TB ECC DDR5-6400 (4 TB at 1 DPC 6400 / 8 TB at 2 DPC 5200 per sister B200 datasheet)</t>
  </si>
  <si>
    <t xml:space="preserve">S1, S2</t>
  </si>
  <si>
    <t xml:space="preserve">Complex</t>
  </si>
  <si>
    <t xml:space="preserve">NVIDIA HGX B300 8-GPU, NVLink 5 1.8 TB/s, 2.3 TB HBM3e per system</t>
  </si>
  <si>
    <t xml:space="preserve">Network</t>
  </si>
  <si>
    <t xml:space="preserve">E-W</t>
  </si>
  <si>
    <t xml:space="preserve">8× NVIDIA ConnectX-8 SuperNICs, up to 800 Gb/s (8× OSFP)</t>
  </si>
  <si>
    <t xml:space="preserve">N-S / LAN</t>
  </si>
  <si>
    <t xml:space="preserve">Up to two North/South NICs; 2× 10GbE RJ45; 1× dedicated BMC LAN</t>
  </si>
  <si>
    <t xml:space="preserve">Storage</t>
  </si>
  <si>
    <t xml:space="preserve">Bays</t>
  </si>
  <si>
    <t xml:space="preserve">8× hot-swap E1.S NVMe; 2× M.2 NVMe</t>
  </si>
  <si>
    <t xml:space="preserve">Power</t>
  </si>
  <si>
    <t xml:space="preserve">PSUs</t>
  </si>
  <si>
    <t xml:space="preserve">6× 6600 W redundant (3+3) Titanium</t>
  </si>
  <si>
    <t xml:space="preserve">Physical</t>
  </si>
  <si>
    <t xml:space="preserve">Enclosure</t>
  </si>
  <si>
    <t xml:space="preserve">449 × 356 × 950 mm (17.6" × 13.8" × 37.4")</t>
  </si>
  <si>
    <t xml:space="preserve">Gold config</t>
  </si>
  <si>
    <t xml:space="preserve">-01-G2 build</t>
  </si>
  <si>
    <t xml:space="preserve">2× Xeon '6768P' 64C 2.4 GHz (reseller; SKU name unverified), 2 TB DDR5-6400, 1× 960 GB M.2, 8-port 800G IB or 16-port 400GbE</t>
  </si>
  <si>
    <t xml:space="preserve">S6</t>
  </si>
  <si>
    <t xml:space="preserve">Service</t>
  </si>
  <si>
    <t xml:space="preserve">Onsite</t>
  </si>
  <si>
    <t xml:space="preserve">Onsite service required</t>
  </si>
  <si>
    <t xml:space="preserve">This workbook</t>
  </si>
  <si>
    <t xml:space="preserve">GPU population</t>
  </si>
  <si>
    <t xml:space="preserve">NVIDIA HGX B300 — max per chassis per GPU config rows above; power scenarios on 4_Power_Budget</t>
  </si>
  <si>
    <t xml:space="preserve">2 · Component and option list</t>
  </si>
  <si>
    <t xml:space="preserve">Part / feature codes as published. Max qty is per system. Use for BOM drafting; confirm in OEM configurator.</t>
  </si>
  <si>
    <t xml:space="preserve">Subsystem</t>
  </si>
  <si>
    <t xml:space="preserve">Component</t>
  </si>
  <si>
    <t xml:space="preserve">Part / feature code</t>
  </si>
  <si>
    <t xml:space="preserve">Max qty</t>
  </si>
  <si>
    <t xml:space="preserve">Spec</t>
  </si>
  <si>
    <t xml:space="preserve">Note</t>
  </si>
  <si>
    <t xml:space="preserve">NVIDIA HGX B300 8-GPU board</t>
  </si>
  <si>
    <t xml:space="preserve">onboard</t>
  </si>
  <si>
    <t xml:space="preserve">1100 W/GPU</t>
  </si>
  <si>
    <t xml:space="preserve">ConnectX-8 SuperNIC 800G OSFP</t>
  </si>
  <si>
    <t xml:space="preserve">6600 W Titanium PSU</t>
  </si>
  <si>
    <t xml:space="preserve">3+3</t>
  </si>
  <si>
    <t xml:space="preserve">E1.S NVMe</t>
  </si>
  <si>
    <t xml:space="preserve">3 · OEM-published power and PSU rules</t>
  </si>
  <si>
    <t xml:space="preserve">These constrain the scenarios on 4_Power_Budget. [U] rows are gaps to close with the OEM.</t>
  </si>
  <si>
    <t xml:space="preserve">Rule</t>
  </si>
  <si>
    <t xml:space="preserve">SYS-822GS-NB3RT / -NBRT</t>
  </si>
  <si>
    <t xml:space="preserve">6× 6600 W Titanium, redundant 3+3</t>
  </si>
  <si>
    <t xml:space="preserve">4 · Node power budget and rack fit (live model)</t>
  </si>
  <si>
    <t xml:space="preserve">Blue-on-yellow cells are inputs. Component load is compared with PSU OUTPUT capacity in redundant mode; AC input and rack fit use PSU efficiency. Replace [U] inputs with OEM calculator output before any facility commitment.</t>
  </si>
  <si>
    <t xml:space="preserve">Input</t>
  </si>
  <si>
    <t xml:space="preserve">Unit</t>
  </si>
  <si>
    <t xml:space="preserve">Basis</t>
  </si>
  <si>
    <t xml:space="preserve">GPUs installed</t>
  </si>
  <si>
    <t xml:space="preserve">count</t>
  </si>
  <si>
    <t xml:space="preserve">OEM max / scenario choice</t>
  </si>
  <si>
    <t xml:space="preserve">GPU max power</t>
  </si>
  <si>
    <t xml:space="preserve">W</t>
  </si>
  <si>
    <t xml:space="preserve">NVIDIA / OEM GPU TDP</t>
  </si>
  <si>
    <t xml:space="preserve">CPUs</t>
  </si>
  <si>
    <t xml:space="preserve">OEM spec</t>
  </si>
  <si>
    <t xml:space="preserve">CPU TDP</t>
  </si>
  <si>
    <t xml:space="preserve">Scenario SKU choice - see 5_Host_CPU_Map</t>
  </si>
  <si>
    <t xml:space="preserve">DIMMs</t>
  </si>
  <si>
    <t xml:space="preserve">Scenario choice (max per 1_System_Spec)</t>
  </si>
  <si>
    <t xml:space="preserve">Power per DDR5 RDIMM</t>
  </si>
  <si>
    <t xml:space="preserve">Planning assumption; replace with OEM calculator</t>
  </si>
  <si>
    <t xml:space="preserve">Data drives (NVMe)</t>
  </si>
  <si>
    <t xml:space="preserve">Scenario choice</t>
  </si>
  <si>
    <t xml:space="preserve">Power per data drive</t>
  </si>
  <si>
    <t xml:space="preserve">Planning assumption: Gen5 U.2/E3.S ≈25 W, E1.S ≈20 W</t>
  </si>
  <si>
    <t xml:space="preserve">Boot drives (M.2)</t>
  </si>
  <si>
    <t xml:space="preserve">Power per boot drive</t>
  </si>
  <si>
    <t xml:space="preserve">Planning assumption</t>
  </si>
  <si>
    <t xml:space="preserve">Add-in NICs / DPUs</t>
  </si>
  <si>
    <t xml:space="preserve">Scenario choice (N-S and/or E-W add-in)</t>
  </si>
  <si>
    <t xml:space="preserve">Power per NIC / DPU</t>
  </si>
  <si>
    <t xml:space="preserve">Planning assumption: CX-7 class ≈25 W; BlueField-3 ≈75 W</t>
  </si>
  <si>
    <t xml:space="preserve">Baseboard / PCIe switch / NVSwitch / on-board CX-8 overhead</t>
  </si>
  <si>
    <t xml:space="preserve">Planning placeholder - largest uncertainty on HGX nodes</t>
  </si>
  <si>
    <t xml:space="preserve">Fans, VRs and conversion overhead</t>
  </si>
  <si>
    <t xml:space="preserve">% of component load</t>
  </si>
  <si>
    <t xml:space="preserve">PSU efficiency at operating load</t>
  </si>
  <si>
    <t xml:space="preserve">fraction</t>
  </si>
  <si>
    <t xml:space="preserve">80 PLUS Titanium ≈94-96% (HPE states up to 96%)</t>
  </si>
  <si>
    <t xml:space="preserve">PSU output rating at site input voltage (0 = unpublished)</t>
  </si>
  <si>
    <t xml:space="preserve">PSUs installed</t>
  </si>
  <si>
    <t xml:space="preserve">OEM spec / scenario</t>
  </si>
  <si>
    <t xml:space="preserve">PSUs held for redundancy</t>
  </si>
  <si>
    <t xml:space="preserve">N+1 = 1, N+N = half</t>
  </si>
  <si>
    <t xml:space="preserve">PSUs in dedicated GPU power domain (0 = not modelled)</t>
  </si>
  <si>
    <t xml:space="preserve">HPE DL380a only</t>
  </si>
  <si>
    <t xml:space="preserve">Rack power budget</t>
  </si>
  <si>
    <t xml:space="preserve">kW</t>
  </si>
  <si>
    <t xml:space="preserve">Your facility figure</t>
  </si>
  <si>
    <t xml:space="preserve">Node height</t>
  </si>
  <si>
    <t xml:space="preserve">RU</t>
  </si>
  <si>
    <t xml:space="preserve">Usable rack units for compute</t>
  </si>
  <si>
    <t xml:space="preserve">42U minus ToR, PDU, patch</t>
  </si>
  <si>
    <t xml:space="preserve">Outputs (formulas)</t>
  </si>
  <si>
    <t xml:space="preserve">Output</t>
  </si>
  <si>
    <t xml:space="preserve">Formula basis</t>
  </si>
  <si>
    <t xml:space="preserve">GPU load</t>
  </si>
  <si>
    <t xml:space="preserve">GPUs × GPU W</t>
  </si>
  <si>
    <t xml:space="preserve">CPU load</t>
  </si>
  <si>
    <t xml:space="preserve">CPUs × TDP</t>
  </si>
  <si>
    <t xml:space="preserve">Memory load</t>
  </si>
  <si>
    <t xml:space="preserve">DIMMs × W</t>
  </si>
  <si>
    <t xml:space="preserve">Storage load</t>
  </si>
  <si>
    <t xml:space="preserve">drives × W + boot × W</t>
  </si>
  <si>
    <t xml:space="preserve">Network add-in load</t>
  </si>
  <si>
    <t xml:space="preserve">NICs × W</t>
  </si>
  <si>
    <t xml:space="preserve">Baseboard / switch overhead</t>
  </si>
  <si>
    <t xml:space="preserve">input</t>
  </si>
  <si>
    <t xml:space="preserve">Component subtotal</t>
  </si>
  <si>
    <t xml:space="preserve">sum of above</t>
  </si>
  <si>
    <t xml:space="preserve">Fans / VR / conversion</t>
  </si>
  <si>
    <t xml:space="preserve">subtotal × %</t>
  </si>
  <si>
    <t xml:space="preserve">Estimated max DC load</t>
  </si>
  <si>
    <t xml:space="preserve">subtotal + fans</t>
  </si>
  <si>
    <t xml:space="preserve">GPU share of DC load</t>
  </si>
  <si>
    <t xml:space="preserve">%</t>
  </si>
  <si>
    <t xml:space="preserve">GPU ÷ DC</t>
  </si>
  <si>
    <t xml:space="preserve">Estimated max AC input</t>
  </si>
  <si>
    <t xml:space="preserve">DC ÷ efficiency</t>
  </si>
  <si>
    <t xml:space="preserve">PSU output in redundant mode</t>
  </si>
  <si>
    <t xml:space="preserve">(installed − redundant) × rating</t>
  </si>
  <si>
    <t xml:space="preserve">Headroom (redundant)</t>
  </si>
  <si>
    <t xml:space="preserve">capacity − DC load</t>
  </si>
  <si>
    <t xml:space="preserve">PSU utilisation (redundant)</t>
  </si>
  <si>
    <t xml:space="preserve">DC ÷ capacity</t>
  </si>
  <si>
    <t xml:space="preserve">Redundancy check</t>
  </si>
  <si>
    <t xml:space="preserve">GPU-domain PSU output (no domain redundancy)</t>
  </si>
  <si>
    <t xml:space="preserve">GPU-domain PSUs × rating</t>
  </si>
  <si>
    <t xml:space="preserve">GPU-domain check</t>
  </si>
  <si>
    <t xml:space="preserve">GPU load ≤ domain output</t>
  </si>
  <si>
    <t xml:space="preserve">Heat load</t>
  </si>
  <si>
    <t xml:space="preserve">BTU/hr</t>
  </si>
  <si>
    <t xml:space="preserve">AC W × 3.412</t>
  </si>
  <si>
    <t xml:space="preserve">AC power per GPU (all-in)</t>
  </si>
  <si>
    <t xml:space="preserve">AC ÷ GPUs</t>
  </si>
  <si>
    <t xml:space="preserve">Nodes per rack - power limited</t>
  </si>
  <si>
    <t xml:space="preserve">rack W ÷ node AC</t>
  </si>
  <si>
    <t xml:space="preserve">Nodes per rack - space limited</t>
  </si>
  <si>
    <t xml:space="preserve">usable RU ÷ node RU</t>
  </si>
  <si>
    <t xml:space="preserve">Nodes per rack</t>
  </si>
  <si>
    <t xml:space="preserve">min(power, space)</t>
  </si>
  <si>
    <t xml:space="preserve">GPUs per rack</t>
  </si>
  <si>
    <t xml:space="preserve">nodes × GPUs</t>
  </si>
  <si>
    <t xml:space="preserve">Rack AC load at that fit</t>
  </si>
  <si>
    <t xml:space="preserve">nodes × AC</t>
  </si>
  <si>
    <t xml:space="preserve">Estimate is a planning ceiling at nameplate GPU/CPU power, not a measured draw. Sustained inference typically runs below nameplate; training and burn-in approach it. PSU ratings are OUTPUT watts at the stated input voltage - check derates (e.g., Dell 3200 W → 2900 W at 200-220 VAC; Lenovo 3200 W is 230 V-only).</t>
  </si>
  <si>
    <t xml:space="preserve">5 · Host CPU map against the Xeon 6 SKU workbook</t>
  </si>
  <si>
    <t xml:space="preserve">Rows 71-82 of 'SKU Recommendations' (GPU host CPU). Socket is the first filter; OEM qualified list the second.</t>
  </si>
  <si>
    <t xml:space="preserve">SYS-822GS-NB3RT — socket LGA-4710 (Socket E2); series Xeon 6700P (P-cores)</t>
  </si>
  <si>
    <t xml:space="preserve">Workbook row</t>
  </si>
  <si>
    <t xml:space="preserve">Workload</t>
  </si>
  <si>
    <t xml:space="preserve">SKU</t>
  </si>
  <si>
    <t xml:space="preserve">Cores/TDP</t>
  </si>
  <si>
    <t xml:space="preserve">Row 71</t>
  </si>
  <si>
    <t xml:space="preserve">Training</t>
  </si>
  <si>
    <t xml:space="preserve">Good</t>
  </si>
  <si>
    <t xml:space="preserve">6747P</t>
  </si>
  <si>
    <t xml:space="preserve">48C/330W</t>
  </si>
  <si>
    <t xml:space="preserve">Socket-compatible; OEM qualification unverified</t>
  </si>
  <si>
    <t xml:space="preserve">Row 72</t>
  </si>
  <si>
    <t xml:space="preserve">6732P</t>
  </si>
  <si>
    <t xml:space="preserve">32C/350W</t>
  </si>
  <si>
    <t xml:space="preserve">Row 73</t>
  </si>
  <si>
    <t xml:space="preserve">Better</t>
  </si>
  <si>
    <t xml:space="preserve">6960P</t>
  </si>
  <si>
    <t xml:space="preserve">72C/500W</t>
  </si>
  <si>
    <t xml:space="preserve">Not installable - 6900P is LGA-7529</t>
  </si>
  <si>
    <t xml:space="preserve">Row 74</t>
  </si>
  <si>
    <t xml:space="preserve">6767P</t>
  </si>
  <si>
    <t xml:space="preserve">64C/350W</t>
  </si>
  <si>
    <t xml:space="preserve">Row 75</t>
  </si>
  <si>
    <t xml:space="preserve">Best</t>
  </si>
  <si>
    <t xml:space="preserve">6962P*</t>
  </si>
  <si>
    <t xml:space="preserve">Row 76</t>
  </si>
  <si>
    <t xml:space="preserve">6776P*</t>
  </si>
  <si>
    <t xml:space="preserve">Row 77</t>
  </si>
  <si>
    <t xml:space="preserve">Inference</t>
  </si>
  <si>
    <t xml:space="preserve">Row 78</t>
  </si>
  <si>
    <t xml:space="preserve">Row 79</t>
  </si>
  <si>
    <t xml:space="preserve">Row 80</t>
  </si>
  <si>
    <t xml:space="preserve">Row 81</t>
  </si>
  <si>
    <t xml:space="preserve">Row 82</t>
  </si>
  <si>
    <t xml:space="preserve">Risks and open questions</t>
  </si>
  <si>
    <t xml:space="preserve">Items that change a planning number when resolved. Re-verify before any bid.</t>
  </si>
  <si>
    <t xml:space="preserve">#</t>
  </si>
  <si>
    <t xml:space="preserve">Open item</t>
  </si>
  <si>
    <t xml:space="preserve">Why it matters</t>
  </si>
  <si>
    <t xml:space="preserve">Resolve by</t>
  </si>
  <si>
    <t xml:space="preserve">'Up to 128 cores' in store copy vs 86C 6700P max</t>
  </si>
  <si>
    <t xml:space="preserve">Host CPU qualification</t>
  </si>
  <si>
    <t xml:space="preserve">Supermicro datasheet CPU list</t>
  </si>
  <si>
    <t xml:space="preserve">Gold config CPU '6768P' not an Intel SKU in the workbook</t>
  </si>
  <si>
    <t xml:space="preserve">Could be a Supermicro-specific or mis-typed SKU</t>
  </si>
  <si>
    <t xml:space="preserve">Supermicro Gold Series BOM</t>
  </si>
  <si>
    <t xml:space="preserve">Per-DIMM, per-drive, per-NIC and fan power are planning assumptions [U]</t>
  </si>
  <si>
    <t xml:space="preserve">Non-GPU load is 15-30% of node power</t>
  </si>
  <si>
    <t xml:space="preserve">OEM power calculators: HPE Power Advisor, Dell EIPT, Lenovo Capacity Planner, Supermicro/MSI sales tools</t>
  </si>
  <si>
    <t xml:space="preserve">Workbook CPU SKUs 6960P / 6962P (rows 73, 75, 79, 81) are LGA-7529</t>
  </si>
  <si>
    <t xml:space="preserve">Not installable in LGA-4710 GPU chassis - only 6900P platforms (SYS-522GA-NRT, XE9780LAP)</t>
  </si>
  <si>
    <t xml:space="preserve">Adopt socket as first filter in capacity planner</t>
  </si>
  <si>
    <t xml:space="preserve">Sources</t>
  </si>
  <si>
    <t xml:space="preserve">Every [I]/[3P] row in this workbook cites one of these IDs. Internal companion files are marked Internal.</t>
  </si>
  <si>
    <t xml:space="preserve">ID</t>
  </si>
  <si>
    <t xml:space="preserve">Location</t>
  </si>
  <si>
    <t xml:space="preserve">Class</t>
  </si>
  <si>
    <t xml:space="preserve">Supermicro - SYS-822GS-NB3RT datasheet / eStore</t>
  </si>
  <si>
    <t xml:space="preserve">https://www.supermicro.com/en/products/system/datasheet/sys-822gs-nb3rt</t>
  </si>
  <si>
    <t xml:space="preserve">S2</t>
  </si>
  <si>
    <t xml:space="preserve">Supermicro - SYS-822GS-NBRT datasheet (HGX B200)</t>
  </si>
  <si>
    <t xml:space="preserve">https://www.supermicro.com/en/products/system/datasheet/sys-822gs-nbrt</t>
  </si>
  <si>
    <t xml:space="preserve">Wiredzone - SYS-822GS-NB3RT-01-G2 / SYS-522GA-NRT listings</t>
  </si>
  <si>
    <t xml:space="preserve">https://www.wiredzone.com/shop/product/10034109-supermicro-sys-822gs-nb3rt-01-g2-hgx-b300-8-gpu-system-16806</t>
  </si>
  <si>
    <t xml:space="preserve">Internal - Intel_Xeon6_Workload_SKU_Recommendations.xlsx, sheet 'SKU Recommendations' rows 71-86</t>
  </si>
  <si>
    <t xml:space="preserve">Intel_Xeon6_Workload_SKU_Recommendations.xlsx</t>
  </si>
  <si>
    <t xml:space="preserve">Capacity-planner parameters (YAML)</t>
  </si>
  <si>
    <t xml:space="preserve">Machine-readable block for Agentic Systems Capacity Planner ingestion. One line per row; copy column A verbatim.</t>
  </si>
  <si>
    <t xml:space="preserve">system_option:</t>
  </si>
  <si>
    <t xml:space="preserve">  file: Supermicro_B300.xlsx</t>
  </si>
  <si>
    <t xml:space="preserve">  oem: Supermicro</t>
  </si>
  <si>
    <t xml:space="preserve">  gpu: B300</t>
  </si>
  <si>
    <t xml:space="preserve">  tier: "High-end"</t>
  </si>
  <si>
    <t xml:space="preserve">  chassis:</t>
  </si>
  <si>
    <t xml:space="preserve">    - model: "SYS-822GS-NB3RT"</t>
  </si>
  <si>
    <t xml:space="preserve">      rack_units: 8</t>
  </si>
  <si>
    <t xml:space="preserve">      cpu_socket: "LGA-4710 (Socket E2)"</t>
  </si>
  <si>
    <t xml:space="preserve">  power_scenarios:   # inputs only; outputs live in 4_Power_Budget</t>
  </si>
  <si>
    <t xml:space="preserve">    - name: "8× B300 · 6× 6600 W (3+3)"</t>
  </si>
  <si>
    <t xml:space="preserve">      system: "SYS-822GS-NB3RT"</t>
  </si>
  <si>
    <t xml:space="preserve">      gpus: 8</t>
  </si>
  <si>
    <t xml:space="preserve">      gpu_w: 1100</t>
  </si>
  <si>
    <t xml:space="preserve">      cpu: {count: 2, tdp_w: 350}</t>
  </si>
  <si>
    <t xml:space="preserve">      psu: {rating_w: 6600, installed: 6, redundant: 3}</t>
  </si>
  <si>
    <t xml:space="preserve">      assumptions_u: {dimm_w: 10, drive_w: 20, nic_w: 25, baseboard_w: 1000, fan_pct: 0.1, psu_eff: 0.95}</t>
  </si>
  <si>
    <t xml:space="preserve">  compiled: "25 September 2026"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</si>
</sst>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0"/>
    <numFmt numFmtId="168" formatCode="0.0%"/>
    <numFmt numFmtId="169" formatCode="@"/>
    <numFmt numFmtId="170" formatCode="0"/>
    <numFmt numFmtId="171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8562F"/>
      <name val="Cambria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B8562F"/>
      <name val="Calibri"/>
      <family val="0"/>
      <charset val="1"/>
    </font>
    <font>
      <b val="true"/>
      <sz val="11"/>
      <color rgb="FFB8562F"/>
      <name val="Cambria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sz val="9"/>
      <color rgb="FF1F3864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8562F"/>
        <bgColor rgb="FF99336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4E4DC"/>
        <bgColor rgb="FFFCE4D6"/>
      </patternFill>
    </fill>
    <fill>
      <patternFill patternType="solid">
        <fgColor rgb="FFFCE4D6"/>
        <bgColor rgb="FFF4E4DC"/>
      </patternFill>
    </fill>
    <fill>
      <patternFill patternType="solid">
        <fgColor rgb="FFF8CBAD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E4D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B8562F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s">
        <v>8</v>
      </c>
      <c r="D5" s="4"/>
    </row>
    <row r="6" customFormat="false" ht="15" hidden="false" customHeight="false" outlineLevel="0" collapsed="false">
      <c r="A6" s="4" t="s">
        <v>9</v>
      </c>
      <c r="B6" s="4" t="s">
        <v>10</v>
      </c>
      <c r="C6" s="6" t="s">
        <v>11</v>
      </c>
      <c r="D6" s="4"/>
    </row>
    <row r="7" customFormat="false" ht="15" hidden="false" customHeight="false" outlineLevel="0" collapsed="false">
      <c r="A7" s="4" t="s">
        <v>12</v>
      </c>
      <c r="B7" s="4" t="s">
        <v>13</v>
      </c>
      <c r="C7" s="5" t="s">
        <v>8</v>
      </c>
      <c r="D7" s="4"/>
    </row>
    <row r="8" customFormat="false" ht="15" hidden="false" customHeight="false" outlineLevel="0" collapsed="false">
      <c r="A8" s="4" t="s">
        <v>14</v>
      </c>
      <c r="B8" s="4" t="s">
        <v>15</v>
      </c>
      <c r="C8" s="6" t="s">
        <v>11</v>
      </c>
      <c r="D8" s="4"/>
    </row>
    <row r="9" customFormat="false" ht="15" hidden="false" customHeight="false" outlineLevel="0" collapsed="false">
      <c r="A9" s="4" t="s">
        <v>16</v>
      </c>
      <c r="B9" s="4" t="s">
        <v>17</v>
      </c>
      <c r="C9" s="6" t="s">
        <v>11</v>
      </c>
      <c r="D9" s="4"/>
    </row>
    <row r="10" customFormat="false" ht="15" hidden="false" customHeight="false" outlineLevel="0" collapsed="false">
      <c r="A10" s="4" t="s">
        <v>18</v>
      </c>
      <c r="B10" s="4" t="s">
        <v>19</v>
      </c>
      <c r="C10" s="5" t="s">
        <v>8</v>
      </c>
      <c r="D10" s="4" t="s">
        <v>20</v>
      </c>
    </row>
    <row r="11" customFormat="false" ht="15" hidden="false" customHeight="false" outlineLevel="0" collapsed="false">
      <c r="A11" s="4" t="s">
        <v>21</v>
      </c>
      <c r="B11" s="4" t="s">
        <v>22</v>
      </c>
      <c r="C11" s="6" t="s">
        <v>11</v>
      </c>
      <c r="D11" s="4"/>
    </row>
    <row r="13" customFormat="false" ht="15" hidden="false" customHeight="false" outlineLevel="0" collapsed="false">
      <c r="A13" s="7" t="s">
        <v>23</v>
      </c>
    </row>
    <row r="14" customFormat="false" ht="30" hidden="false" customHeight="true" outlineLevel="0" collapsed="false">
      <c r="A14" s="8" t="s">
        <v>24</v>
      </c>
      <c r="B14" s="8"/>
      <c r="C14" s="8"/>
      <c r="D14" s="8"/>
    </row>
    <row r="16" customFormat="false" ht="15" hidden="false" customHeight="false" outlineLevel="0" collapsed="false">
      <c r="A16" s="9" t="s">
        <v>25</v>
      </c>
      <c r="B16" s="10"/>
      <c r="C16" s="10"/>
      <c r="D16" s="10"/>
    </row>
    <row r="17" customFormat="false" ht="35.05" hidden="false" customHeight="false" outlineLevel="0" collapsed="false">
      <c r="A17" s="3" t="s">
        <v>26</v>
      </c>
      <c r="B17" s="3" t="s">
        <v>27</v>
      </c>
      <c r="C17" s="3" t="s">
        <v>28</v>
      </c>
      <c r="D17" s="3" t="s">
        <v>29</v>
      </c>
    </row>
    <row r="18" customFormat="false" ht="23.85" hidden="false" customHeight="false" outlineLevel="0" collapsed="false">
      <c r="A18" s="4" t="s">
        <v>30</v>
      </c>
      <c r="B18" s="11" t="n">
        <f aca="false">4_Power_Budget!C39</f>
        <v>12150.6</v>
      </c>
      <c r="C18" s="11" t="n">
        <f aca="false">4_Power_Budget!C42</f>
        <v>19800</v>
      </c>
      <c r="D18" s="4" t="str">
        <f aca="false">4_Power_Budget!C45</f>
        <v>OK within redundant capacity</v>
      </c>
    </row>
    <row r="20" customFormat="false" ht="15" hidden="false" customHeight="false" outlineLevel="0" collapsed="false">
      <c r="A20" s="9" t="s">
        <v>31</v>
      </c>
      <c r="B20" s="10"/>
      <c r="C20" s="10"/>
      <c r="D20" s="10"/>
    </row>
    <row r="21" customFormat="false" ht="15" hidden="false" customHeight="false" outlineLevel="0" collapsed="false">
      <c r="A21" s="3" t="s">
        <v>4</v>
      </c>
      <c r="B21" s="3" t="s">
        <v>32</v>
      </c>
      <c r="C21" s="3" t="s">
        <v>33</v>
      </c>
      <c r="D21" s="3" t="s">
        <v>34</v>
      </c>
    </row>
    <row r="22" customFormat="false" ht="23.85" hidden="false" customHeight="false" outlineLevel="0" collapsed="false">
      <c r="A22" s="5" t="s">
        <v>8</v>
      </c>
      <c r="B22" s="4" t="s">
        <v>35</v>
      </c>
      <c r="C22" s="4" t="s">
        <v>36</v>
      </c>
      <c r="D22" s="4" t="s">
        <v>37</v>
      </c>
    </row>
    <row r="23" customFormat="false" ht="23.85" hidden="false" customHeight="false" outlineLevel="0" collapsed="false">
      <c r="A23" s="6" t="s">
        <v>11</v>
      </c>
      <c r="B23" s="4" t="s">
        <v>38</v>
      </c>
      <c r="C23" s="4" t="s">
        <v>39</v>
      </c>
      <c r="D23" s="4" t="s">
        <v>40</v>
      </c>
    </row>
    <row r="24" customFormat="false" ht="23.85" hidden="false" customHeight="false" outlineLevel="0" collapsed="false">
      <c r="A24" s="12" t="s">
        <v>41</v>
      </c>
      <c r="B24" s="4" t="s">
        <v>42</v>
      </c>
      <c r="C24" s="4" t="s">
        <v>43</v>
      </c>
      <c r="D24" s="4" t="s">
        <v>44</v>
      </c>
    </row>
    <row r="25" customFormat="false" ht="23.85" hidden="false" customHeight="false" outlineLevel="0" collapsed="false">
      <c r="A25" s="13" t="s">
        <v>45</v>
      </c>
      <c r="B25" s="4" t="s">
        <v>46</v>
      </c>
      <c r="C25" s="4" t="s">
        <v>47</v>
      </c>
      <c r="D25" s="4" t="s">
        <v>48</v>
      </c>
    </row>
    <row r="26" customFormat="false" ht="15" hidden="false" customHeight="false" outlineLevel="0" collapsed="false">
      <c r="A26" s="14" t="s">
        <v>49</v>
      </c>
      <c r="B26" s="4" t="s">
        <v>50</v>
      </c>
      <c r="C26" s="4" t="s">
        <v>51</v>
      </c>
      <c r="D26" s="4" t="s">
        <v>51</v>
      </c>
    </row>
  </sheetData>
  <mergeCells count="1">
    <mergeCell ref="A14:D1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80"/>
    <col collapsed="false" customWidth="true" hidden="false" outlineLevel="0" max="5" min="5" style="0" width="7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15" hidden="false" customHeight="false" outlineLevel="0" collapsed="false">
      <c r="A4" s="9" t="s">
        <v>54</v>
      </c>
      <c r="B4" s="10"/>
      <c r="C4" s="10"/>
      <c r="D4" s="10"/>
      <c r="E4" s="10"/>
      <c r="F4" s="10"/>
    </row>
    <row r="5" customFormat="false" ht="15" hidden="false" customHeight="false" outlineLevel="0" collapsed="false">
      <c r="A5" s="3" t="s">
        <v>55</v>
      </c>
      <c r="B5" s="3" t="s">
        <v>56</v>
      </c>
      <c r="C5" s="3" t="s">
        <v>57</v>
      </c>
      <c r="D5" s="3" t="s">
        <v>3</v>
      </c>
      <c r="E5" s="3" t="s">
        <v>4</v>
      </c>
      <c r="F5" s="3" t="s">
        <v>58</v>
      </c>
    </row>
    <row r="6" customFormat="false" ht="15" hidden="false" customHeight="false" outlineLevel="0" collapsed="false">
      <c r="A6" s="4" t="s">
        <v>13</v>
      </c>
      <c r="B6" s="4" t="s">
        <v>59</v>
      </c>
      <c r="C6" s="4" t="s">
        <v>60</v>
      </c>
      <c r="D6" s="4" t="s">
        <v>61</v>
      </c>
      <c r="E6" s="5" t="s">
        <v>8</v>
      </c>
      <c r="F6" s="4" t="s">
        <v>62</v>
      </c>
    </row>
    <row r="7" customFormat="false" ht="15" hidden="false" customHeight="false" outlineLevel="0" collapsed="false">
      <c r="A7" s="4" t="s">
        <v>13</v>
      </c>
      <c r="B7" s="4" t="s">
        <v>59</v>
      </c>
      <c r="C7" s="4" t="s">
        <v>63</v>
      </c>
      <c r="D7" s="4" t="s">
        <v>64</v>
      </c>
      <c r="E7" s="5" t="s">
        <v>8</v>
      </c>
      <c r="F7" s="4" t="s">
        <v>62</v>
      </c>
    </row>
    <row r="8" customFormat="false" ht="23.85" hidden="false" customHeight="false" outlineLevel="0" collapsed="false">
      <c r="A8" s="4" t="s">
        <v>13</v>
      </c>
      <c r="B8" s="4" t="s">
        <v>65</v>
      </c>
      <c r="C8" s="4" t="s">
        <v>66</v>
      </c>
      <c r="D8" s="4" t="s">
        <v>67</v>
      </c>
      <c r="E8" s="5" t="s">
        <v>8</v>
      </c>
      <c r="F8" s="4" t="s">
        <v>62</v>
      </c>
    </row>
    <row r="9" customFormat="false" ht="23.85" hidden="false" customHeight="false" outlineLevel="0" collapsed="false">
      <c r="A9" s="4" t="s">
        <v>13</v>
      </c>
      <c r="B9" s="4" t="s">
        <v>68</v>
      </c>
      <c r="C9" s="4" t="s">
        <v>69</v>
      </c>
      <c r="D9" s="4" t="s">
        <v>70</v>
      </c>
      <c r="E9" s="5" t="s">
        <v>8</v>
      </c>
      <c r="F9" s="4" t="s">
        <v>71</v>
      </c>
    </row>
    <row r="10" customFormat="false" ht="15" hidden="false" customHeight="false" outlineLevel="0" collapsed="false">
      <c r="A10" s="4" t="s">
        <v>13</v>
      </c>
      <c r="B10" s="4" t="s">
        <v>6</v>
      </c>
      <c r="C10" s="4" t="s">
        <v>72</v>
      </c>
      <c r="D10" s="4" t="s">
        <v>73</v>
      </c>
      <c r="E10" s="5" t="s">
        <v>8</v>
      </c>
      <c r="F10" s="4" t="s">
        <v>62</v>
      </c>
    </row>
    <row r="11" customFormat="false" ht="15" hidden="false" customHeight="false" outlineLevel="0" collapsed="false">
      <c r="A11" s="4" t="s">
        <v>13</v>
      </c>
      <c r="B11" s="4" t="s">
        <v>74</v>
      </c>
      <c r="C11" s="4" t="s">
        <v>75</v>
      </c>
      <c r="D11" s="4" t="s">
        <v>76</v>
      </c>
      <c r="E11" s="5" t="s">
        <v>8</v>
      </c>
      <c r="F11" s="4" t="s">
        <v>62</v>
      </c>
    </row>
    <row r="12" customFormat="false" ht="15" hidden="false" customHeight="false" outlineLevel="0" collapsed="false">
      <c r="A12" s="4" t="s">
        <v>13</v>
      </c>
      <c r="B12" s="4" t="s">
        <v>74</v>
      </c>
      <c r="C12" s="4" t="s">
        <v>77</v>
      </c>
      <c r="D12" s="4" t="s">
        <v>78</v>
      </c>
      <c r="E12" s="5" t="s">
        <v>8</v>
      </c>
      <c r="F12" s="4" t="s">
        <v>62</v>
      </c>
    </row>
    <row r="13" customFormat="false" ht="15" hidden="false" customHeight="false" outlineLevel="0" collapsed="false">
      <c r="A13" s="4" t="s">
        <v>13</v>
      </c>
      <c r="B13" s="4" t="s">
        <v>79</v>
      </c>
      <c r="C13" s="4" t="s">
        <v>80</v>
      </c>
      <c r="D13" s="4" t="s">
        <v>81</v>
      </c>
      <c r="E13" s="5" t="s">
        <v>8</v>
      </c>
      <c r="F13" s="4" t="s">
        <v>62</v>
      </c>
    </row>
    <row r="14" customFormat="false" ht="15" hidden="false" customHeight="false" outlineLevel="0" collapsed="false">
      <c r="A14" s="4" t="s">
        <v>13</v>
      </c>
      <c r="B14" s="4" t="s">
        <v>82</v>
      </c>
      <c r="C14" s="4" t="s">
        <v>83</v>
      </c>
      <c r="D14" s="4" t="s">
        <v>84</v>
      </c>
      <c r="E14" s="5" t="s">
        <v>8</v>
      </c>
      <c r="F14" s="4" t="s">
        <v>62</v>
      </c>
    </row>
    <row r="15" customFormat="false" ht="15" hidden="false" customHeight="false" outlineLevel="0" collapsed="false">
      <c r="A15" s="4" t="s">
        <v>13</v>
      </c>
      <c r="B15" s="4" t="s">
        <v>85</v>
      </c>
      <c r="C15" s="4" t="s">
        <v>86</v>
      </c>
      <c r="D15" s="4" t="s">
        <v>87</v>
      </c>
      <c r="E15" s="5" t="s">
        <v>8</v>
      </c>
      <c r="F15" s="4" t="s">
        <v>62</v>
      </c>
    </row>
    <row r="16" customFormat="false" ht="23.85" hidden="false" customHeight="false" outlineLevel="0" collapsed="false">
      <c r="A16" s="4" t="s">
        <v>13</v>
      </c>
      <c r="B16" s="4" t="s">
        <v>88</v>
      </c>
      <c r="C16" s="4" t="s">
        <v>89</v>
      </c>
      <c r="D16" s="4" t="s">
        <v>90</v>
      </c>
      <c r="E16" s="12" t="s">
        <v>41</v>
      </c>
      <c r="F16" s="4" t="s">
        <v>91</v>
      </c>
    </row>
    <row r="17" customFormat="false" ht="15" hidden="false" customHeight="false" outlineLevel="0" collapsed="false">
      <c r="A17" s="4" t="s">
        <v>13</v>
      </c>
      <c r="B17" s="4" t="s">
        <v>92</v>
      </c>
      <c r="C17" s="4" t="s">
        <v>93</v>
      </c>
      <c r="D17" s="4" t="s">
        <v>94</v>
      </c>
      <c r="E17" s="5" t="s">
        <v>8</v>
      </c>
      <c r="F17" s="4" t="s">
        <v>62</v>
      </c>
    </row>
    <row r="18" customFormat="false" ht="15" hidden="false" customHeight="false" outlineLevel="0" collapsed="false">
      <c r="A18" s="4" t="s">
        <v>13</v>
      </c>
      <c r="B18" s="4" t="s">
        <v>95</v>
      </c>
      <c r="C18" s="4" t="s">
        <v>96</v>
      </c>
      <c r="D18" s="4" t="s">
        <v>97</v>
      </c>
      <c r="E18" s="6" t="s">
        <v>11</v>
      </c>
      <c r="F18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4" customFormat="false" ht="15" hidden="false" customHeight="false" outlineLevel="0" collapsed="false">
      <c r="A4" s="3" t="s">
        <v>55</v>
      </c>
      <c r="B4" s="3" t="s">
        <v>100</v>
      </c>
      <c r="C4" s="3" t="s">
        <v>101</v>
      </c>
      <c r="D4" s="3" t="s">
        <v>102</v>
      </c>
      <c r="E4" s="3" t="s">
        <v>103</v>
      </c>
      <c r="F4" s="3" t="s">
        <v>104</v>
      </c>
      <c r="G4" s="3" t="s">
        <v>4</v>
      </c>
      <c r="H4" s="3" t="s">
        <v>58</v>
      </c>
      <c r="I4" s="3" t="s">
        <v>105</v>
      </c>
    </row>
    <row r="5" customFormat="false" ht="15" hidden="false" customHeight="false" outlineLevel="0" collapsed="false">
      <c r="A5" s="4" t="s">
        <v>13</v>
      </c>
      <c r="B5" s="4" t="s">
        <v>6</v>
      </c>
      <c r="C5" s="4" t="s">
        <v>106</v>
      </c>
      <c r="D5" s="4" t="s">
        <v>107</v>
      </c>
      <c r="E5" s="4" t="n">
        <v>1</v>
      </c>
      <c r="F5" s="4" t="s">
        <v>108</v>
      </c>
      <c r="G5" s="5" t="s">
        <v>8</v>
      </c>
      <c r="H5" s="4" t="s">
        <v>62</v>
      </c>
      <c r="I5" s="4"/>
    </row>
    <row r="6" customFormat="false" ht="15" hidden="false" customHeight="false" outlineLevel="0" collapsed="false">
      <c r="A6" s="4" t="s">
        <v>13</v>
      </c>
      <c r="B6" s="4" t="s">
        <v>74</v>
      </c>
      <c r="C6" s="4" t="s">
        <v>109</v>
      </c>
      <c r="D6" s="4" t="s">
        <v>107</v>
      </c>
      <c r="E6" s="4" t="n">
        <v>8</v>
      </c>
      <c r="F6" s="4"/>
      <c r="G6" s="5" t="s">
        <v>8</v>
      </c>
      <c r="H6" s="4" t="s">
        <v>62</v>
      </c>
      <c r="I6" s="4"/>
    </row>
    <row r="7" customFormat="false" ht="15" hidden="false" customHeight="false" outlineLevel="0" collapsed="false">
      <c r="A7" s="4" t="s">
        <v>13</v>
      </c>
      <c r="B7" s="4" t="s">
        <v>82</v>
      </c>
      <c r="C7" s="4" t="s">
        <v>110</v>
      </c>
      <c r="D7" s="4"/>
      <c r="E7" s="4" t="n">
        <v>6</v>
      </c>
      <c r="F7" s="4" t="s">
        <v>111</v>
      </c>
      <c r="G7" s="5" t="s">
        <v>8</v>
      </c>
      <c r="H7" s="4" t="s">
        <v>62</v>
      </c>
      <c r="I7" s="4"/>
    </row>
    <row r="8" customFormat="false" ht="15" hidden="false" customHeight="false" outlineLevel="0" collapsed="false">
      <c r="A8" s="4" t="s">
        <v>13</v>
      </c>
      <c r="B8" s="4" t="s">
        <v>79</v>
      </c>
      <c r="C8" s="4" t="s">
        <v>112</v>
      </c>
      <c r="D8" s="4"/>
      <c r="E8" s="4" t="n">
        <v>8</v>
      </c>
      <c r="F8" s="4"/>
      <c r="G8" s="5" t="s">
        <v>8</v>
      </c>
      <c r="H8" s="4" t="s">
        <v>62</v>
      </c>
      <c r="I8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  <col collapsed="false" customWidth="true" hidden="false" outlineLevel="0" max="3" min="3" style="0" width="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113</v>
      </c>
    </row>
    <row r="2" customFormat="false" ht="15" hidden="false" customHeight="false" outlineLevel="0" collapsed="false">
      <c r="A2" s="2" t="s">
        <v>114</v>
      </c>
    </row>
    <row r="4" customFormat="false" ht="15" hidden="false" customHeight="false" outlineLevel="0" collapsed="false">
      <c r="A4" s="3" t="s">
        <v>55</v>
      </c>
      <c r="B4" s="3" t="s">
        <v>115</v>
      </c>
      <c r="C4" s="3" t="s">
        <v>4</v>
      </c>
      <c r="D4" s="3" t="s">
        <v>58</v>
      </c>
    </row>
    <row r="5" customFormat="false" ht="15" hidden="false" customHeight="false" outlineLevel="0" collapsed="false">
      <c r="A5" s="4" t="s">
        <v>116</v>
      </c>
      <c r="B5" s="4" t="s">
        <v>117</v>
      </c>
      <c r="C5" s="5" t="s">
        <v>8</v>
      </c>
      <c r="D5" s="4" t="s">
        <v>71</v>
      </c>
    </row>
    <row r="6" customFormat="false" ht="15" hidden="false" customHeight="false" outlineLevel="0" collapsed="false">
      <c r="A6" s="4" t="s">
        <v>13</v>
      </c>
      <c r="B6" s="4" t="s">
        <v>94</v>
      </c>
      <c r="C6" s="5" t="s">
        <v>8</v>
      </c>
      <c r="D6" s="4" t="s">
        <v>62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46"/>
  </cols>
  <sheetData>
    <row r="1" customFormat="false" ht="19.7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4" customFormat="false" ht="15" hidden="false" customHeight="false" outlineLevel="0" collapsed="false">
      <c r="A4" s="3" t="s">
        <v>120</v>
      </c>
      <c r="B4" s="3" t="s">
        <v>121</v>
      </c>
      <c r="C4" s="3" t="s">
        <v>30</v>
      </c>
      <c r="D4" s="3" t="s">
        <v>4</v>
      </c>
      <c r="E4" s="3" t="s">
        <v>122</v>
      </c>
    </row>
    <row r="5" customFormat="false" ht="15" hidden="false" customHeight="false" outlineLevel="0" collapsed="false">
      <c r="A5" s="15" t="s">
        <v>55</v>
      </c>
      <c r="B5" s="15"/>
      <c r="C5" s="15" t="s">
        <v>13</v>
      </c>
      <c r="D5" s="15"/>
      <c r="E5" s="15"/>
    </row>
    <row r="6" customFormat="false" ht="15" hidden="false" customHeight="false" outlineLevel="0" collapsed="false">
      <c r="A6" s="4" t="s">
        <v>123</v>
      </c>
      <c r="B6" s="4" t="s">
        <v>124</v>
      </c>
      <c r="C6" s="16" t="n">
        <v>8</v>
      </c>
      <c r="D6" s="5" t="s">
        <v>8</v>
      </c>
      <c r="E6" s="4" t="s">
        <v>125</v>
      </c>
    </row>
    <row r="7" customFormat="false" ht="15" hidden="false" customHeight="false" outlineLevel="0" collapsed="false">
      <c r="A7" s="4" t="s">
        <v>126</v>
      </c>
      <c r="B7" s="4" t="s">
        <v>127</v>
      </c>
      <c r="C7" s="16" t="n">
        <v>1100</v>
      </c>
      <c r="D7" s="5" t="s">
        <v>8</v>
      </c>
      <c r="E7" s="4" t="s">
        <v>128</v>
      </c>
    </row>
    <row r="8" customFormat="false" ht="15" hidden="false" customHeight="false" outlineLevel="0" collapsed="false">
      <c r="A8" s="4" t="s">
        <v>129</v>
      </c>
      <c r="B8" s="4" t="s">
        <v>124</v>
      </c>
      <c r="C8" s="16" t="n">
        <v>2</v>
      </c>
      <c r="D8" s="5" t="s">
        <v>8</v>
      </c>
      <c r="E8" s="4" t="s">
        <v>130</v>
      </c>
    </row>
    <row r="9" customFormat="false" ht="15" hidden="false" customHeight="false" outlineLevel="0" collapsed="false">
      <c r="A9" s="4" t="s">
        <v>131</v>
      </c>
      <c r="B9" s="4" t="s">
        <v>127</v>
      </c>
      <c r="C9" s="16" t="n">
        <v>350</v>
      </c>
      <c r="D9" s="13" t="s">
        <v>45</v>
      </c>
      <c r="E9" s="4" t="s">
        <v>132</v>
      </c>
    </row>
    <row r="10" customFormat="false" ht="15" hidden="false" customHeight="false" outlineLevel="0" collapsed="false">
      <c r="A10" s="4" t="s">
        <v>133</v>
      </c>
      <c r="B10" s="4" t="s">
        <v>124</v>
      </c>
      <c r="C10" s="16" t="n">
        <v>32</v>
      </c>
      <c r="D10" s="13" t="s">
        <v>45</v>
      </c>
      <c r="E10" s="4" t="s">
        <v>134</v>
      </c>
    </row>
    <row r="11" customFormat="false" ht="15" hidden="false" customHeight="false" outlineLevel="0" collapsed="false">
      <c r="A11" s="4" t="s">
        <v>135</v>
      </c>
      <c r="B11" s="4" t="s">
        <v>127</v>
      </c>
      <c r="C11" s="16" t="n">
        <v>10</v>
      </c>
      <c r="D11" s="13" t="s">
        <v>45</v>
      </c>
      <c r="E11" s="4" t="s">
        <v>136</v>
      </c>
    </row>
    <row r="12" customFormat="false" ht="15" hidden="false" customHeight="false" outlineLevel="0" collapsed="false">
      <c r="A12" s="4" t="s">
        <v>137</v>
      </c>
      <c r="B12" s="4" t="s">
        <v>124</v>
      </c>
      <c r="C12" s="16" t="n">
        <v>8</v>
      </c>
      <c r="D12" s="13" t="s">
        <v>45</v>
      </c>
      <c r="E12" s="4" t="s">
        <v>138</v>
      </c>
    </row>
    <row r="13" customFormat="false" ht="15" hidden="false" customHeight="false" outlineLevel="0" collapsed="false">
      <c r="A13" s="4" t="s">
        <v>139</v>
      </c>
      <c r="B13" s="4" t="s">
        <v>127</v>
      </c>
      <c r="C13" s="16" t="n">
        <v>20</v>
      </c>
      <c r="D13" s="13" t="s">
        <v>45</v>
      </c>
      <c r="E13" s="4" t="s">
        <v>140</v>
      </c>
    </row>
    <row r="14" customFormat="false" ht="15" hidden="false" customHeight="false" outlineLevel="0" collapsed="false">
      <c r="A14" s="4" t="s">
        <v>141</v>
      </c>
      <c r="B14" s="4" t="s">
        <v>124</v>
      </c>
      <c r="C14" s="16" t="n">
        <v>2</v>
      </c>
      <c r="D14" s="5" t="s">
        <v>8</v>
      </c>
      <c r="E14" s="4" t="s">
        <v>130</v>
      </c>
    </row>
    <row r="15" customFormat="false" ht="15" hidden="false" customHeight="false" outlineLevel="0" collapsed="false">
      <c r="A15" s="4" t="s">
        <v>142</v>
      </c>
      <c r="B15" s="4" t="s">
        <v>127</v>
      </c>
      <c r="C15" s="16" t="n">
        <v>8</v>
      </c>
      <c r="D15" s="13" t="s">
        <v>45</v>
      </c>
      <c r="E15" s="4" t="s">
        <v>143</v>
      </c>
    </row>
    <row r="16" customFormat="false" ht="15" hidden="false" customHeight="false" outlineLevel="0" collapsed="false">
      <c r="A16" s="4" t="s">
        <v>144</v>
      </c>
      <c r="B16" s="4" t="s">
        <v>124</v>
      </c>
      <c r="C16" s="16" t="n">
        <v>2</v>
      </c>
      <c r="D16" s="13" t="s">
        <v>45</v>
      </c>
      <c r="E16" s="4" t="s">
        <v>145</v>
      </c>
    </row>
    <row r="17" customFormat="false" ht="15" hidden="false" customHeight="false" outlineLevel="0" collapsed="false">
      <c r="A17" s="4" t="s">
        <v>146</v>
      </c>
      <c r="B17" s="4" t="s">
        <v>127</v>
      </c>
      <c r="C17" s="16" t="n">
        <v>25</v>
      </c>
      <c r="D17" s="13" t="s">
        <v>45</v>
      </c>
      <c r="E17" s="4" t="s">
        <v>147</v>
      </c>
    </row>
    <row r="18" customFormat="false" ht="15" hidden="false" customHeight="false" outlineLevel="0" collapsed="false">
      <c r="A18" s="4" t="s">
        <v>148</v>
      </c>
      <c r="B18" s="4" t="s">
        <v>127</v>
      </c>
      <c r="C18" s="16" t="n">
        <v>1000</v>
      </c>
      <c r="D18" s="13" t="s">
        <v>45</v>
      </c>
      <c r="E18" s="4" t="s">
        <v>149</v>
      </c>
    </row>
    <row r="19" customFormat="false" ht="23.85" hidden="false" customHeight="false" outlineLevel="0" collapsed="false">
      <c r="A19" s="4" t="s">
        <v>150</v>
      </c>
      <c r="B19" s="4" t="s">
        <v>151</v>
      </c>
      <c r="C19" s="17" t="n">
        <v>0.1</v>
      </c>
      <c r="D19" s="13" t="s">
        <v>45</v>
      </c>
      <c r="E19" s="4" t="s">
        <v>143</v>
      </c>
    </row>
    <row r="20" customFormat="false" ht="15" hidden="false" customHeight="false" outlineLevel="0" collapsed="false">
      <c r="A20" s="4" t="s">
        <v>152</v>
      </c>
      <c r="B20" s="4" t="s">
        <v>153</v>
      </c>
      <c r="C20" s="18" t="n">
        <v>0.95</v>
      </c>
      <c r="D20" s="13" t="s">
        <v>45</v>
      </c>
      <c r="E20" s="4" t="s">
        <v>154</v>
      </c>
    </row>
    <row r="21" customFormat="false" ht="15" hidden="false" customHeight="false" outlineLevel="0" collapsed="false">
      <c r="A21" s="4" t="s">
        <v>155</v>
      </c>
      <c r="B21" s="4" t="s">
        <v>127</v>
      </c>
      <c r="C21" s="16" t="n">
        <v>6600</v>
      </c>
      <c r="D21" s="5" t="s">
        <v>8</v>
      </c>
      <c r="E21" s="4" t="s">
        <v>130</v>
      </c>
    </row>
    <row r="22" customFormat="false" ht="15" hidden="false" customHeight="false" outlineLevel="0" collapsed="false">
      <c r="A22" s="4" t="s">
        <v>156</v>
      </c>
      <c r="B22" s="4" t="s">
        <v>124</v>
      </c>
      <c r="C22" s="16" t="n">
        <v>6</v>
      </c>
      <c r="D22" s="5" t="s">
        <v>8</v>
      </c>
      <c r="E22" s="4" t="s">
        <v>157</v>
      </c>
    </row>
    <row r="23" customFormat="false" ht="15" hidden="false" customHeight="false" outlineLevel="0" collapsed="false">
      <c r="A23" s="4" t="s">
        <v>158</v>
      </c>
      <c r="B23" s="4" t="s">
        <v>124</v>
      </c>
      <c r="C23" s="16" t="n">
        <v>3</v>
      </c>
      <c r="D23" s="5" t="s">
        <v>8</v>
      </c>
      <c r="E23" s="4" t="s">
        <v>159</v>
      </c>
    </row>
    <row r="24" customFormat="false" ht="15" hidden="false" customHeight="false" outlineLevel="0" collapsed="false">
      <c r="A24" s="4" t="s">
        <v>160</v>
      </c>
      <c r="B24" s="4" t="s">
        <v>124</v>
      </c>
      <c r="C24" s="16" t="n">
        <v>0</v>
      </c>
      <c r="D24" s="5" t="s">
        <v>8</v>
      </c>
      <c r="E24" s="4" t="s">
        <v>161</v>
      </c>
    </row>
    <row r="25" customFormat="false" ht="15" hidden="false" customHeight="false" outlineLevel="0" collapsed="false">
      <c r="A25" s="4" t="s">
        <v>162</v>
      </c>
      <c r="B25" s="4" t="s">
        <v>163</v>
      </c>
      <c r="C25" s="16" t="n">
        <v>30</v>
      </c>
      <c r="D25" s="13" t="s">
        <v>45</v>
      </c>
      <c r="E25" s="4" t="s">
        <v>164</v>
      </c>
    </row>
    <row r="26" customFormat="false" ht="15" hidden="false" customHeight="false" outlineLevel="0" collapsed="false">
      <c r="A26" s="4" t="s">
        <v>165</v>
      </c>
      <c r="B26" s="4" t="s">
        <v>166</v>
      </c>
      <c r="C26" s="16" t="n">
        <v>8</v>
      </c>
      <c r="D26" s="5" t="s">
        <v>8</v>
      </c>
      <c r="E26" s="4" t="s">
        <v>130</v>
      </c>
    </row>
    <row r="27" customFormat="false" ht="15" hidden="false" customHeight="false" outlineLevel="0" collapsed="false">
      <c r="A27" s="4" t="s">
        <v>167</v>
      </c>
      <c r="B27" s="4" t="s">
        <v>166</v>
      </c>
      <c r="C27" s="16" t="n">
        <v>38</v>
      </c>
      <c r="D27" s="13" t="s">
        <v>45</v>
      </c>
      <c r="E27" s="4" t="s">
        <v>168</v>
      </c>
    </row>
    <row r="29" customFormat="false" ht="15" hidden="false" customHeight="false" outlineLevel="0" collapsed="false">
      <c r="A29" s="9" t="s">
        <v>169</v>
      </c>
      <c r="B29" s="10"/>
      <c r="C29" s="10"/>
      <c r="D29" s="10"/>
      <c r="E29" s="10"/>
    </row>
    <row r="30" customFormat="false" ht="15" hidden="false" customHeight="false" outlineLevel="0" collapsed="false">
      <c r="A30" s="3" t="s">
        <v>170</v>
      </c>
      <c r="B30" s="3" t="s">
        <v>121</v>
      </c>
      <c r="C30" s="3" t="s">
        <v>30</v>
      </c>
      <c r="D30" s="3" t="s">
        <v>4</v>
      </c>
      <c r="E30" s="3" t="s">
        <v>171</v>
      </c>
    </row>
    <row r="31" customFormat="false" ht="15" hidden="false" customHeight="false" outlineLevel="0" collapsed="false">
      <c r="A31" s="4" t="s">
        <v>172</v>
      </c>
      <c r="B31" s="4" t="s">
        <v>127</v>
      </c>
      <c r="C31" s="11" t="n">
        <f aca="false">C6*C7</f>
        <v>8800</v>
      </c>
      <c r="D31" s="6" t="s">
        <v>11</v>
      </c>
      <c r="E31" s="4" t="s">
        <v>173</v>
      </c>
    </row>
    <row r="32" customFormat="false" ht="15" hidden="false" customHeight="false" outlineLevel="0" collapsed="false">
      <c r="A32" s="4" t="s">
        <v>174</v>
      </c>
      <c r="B32" s="4" t="s">
        <v>127</v>
      </c>
      <c r="C32" s="11" t="n">
        <f aca="false">C8*C9</f>
        <v>700</v>
      </c>
      <c r="D32" s="6" t="s">
        <v>11</v>
      </c>
      <c r="E32" s="4" t="s">
        <v>175</v>
      </c>
    </row>
    <row r="33" customFormat="false" ht="15" hidden="false" customHeight="false" outlineLevel="0" collapsed="false">
      <c r="A33" s="4" t="s">
        <v>176</v>
      </c>
      <c r="B33" s="4" t="s">
        <v>127</v>
      </c>
      <c r="C33" s="11" t="n">
        <f aca="false">C10*C11</f>
        <v>320</v>
      </c>
      <c r="D33" s="6" t="s">
        <v>11</v>
      </c>
      <c r="E33" s="4" t="s">
        <v>177</v>
      </c>
    </row>
    <row r="34" customFormat="false" ht="15" hidden="false" customHeight="false" outlineLevel="0" collapsed="false">
      <c r="A34" s="4" t="s">
        <v>178</v>
      </c>
      <c r="B34" s="4" t="s">
        <v>127</v>
      </c>
      <c r="C34" s="11" t="n">
        <f aca="false">C12*C13+C14*C15</f>
        <v>176</v>
      </c>
      <c r="D34" s="6" t="s">
        <v>11</v>
      </c>
      <c r="E34" s="4" t="s">
        <v>179</v>
      </c>
    </row>
    <row r="35" customFormat="false" ht="15" hidden="false" customHeight="false" outlineLevel="0" collapsed="false">
      <c r="A35" s="4" t="s">
        <v>180</v>
      </c>
      <c r="B35" s="4" t="s">
        <v>127</v>
      </c>
      <c r="C35" s="11" t="n">
        <f aca="false">C16*C17</f>
        <v>50</v>
      </c>
      <c r="D35" s="6" t="s">
        <v>11</v>
      </c>
      <c r="E35" s="4" t="s">
        <v>181</v>
      </c>
    </row>
    <row r="36" customFormat="false" ht="15" hidden="false" customHeight="false" outlineLevel="0" collapsed="false">
      <c r="A36" s="4" t="s">
        <v>182</v>
      </c>
      <c r="B36" s="4" t="s">
        <v>127</v>
      </c>
      <c r="C36" s="11" t="n">
        <f aca="false">C18</f>
        <v>1000</v>
      </c>
      <c r="D36" s="6" t="s">
        <v>11</v>
      </c>
      <c r="E36" s="4" t="s">
        <v>183</v>
      </c>
    </row>
    <row r="37" customFormat="false" ht="15" hidden="false" customHeight="false" outlineLevel="0" collapsed="false">
      <c r="A37" s="4" t="s">
        <v>184</v>
      </c>
      <c r="B37" s="4" t="s">
        <v>127</v>
      </c>
      <c r="C37" s="11" t="n">
        <f aca="false">SUM(C31:C36)</f>
        <v>11046</v>
      </c>
      <c r="D37" s="6" t="s">
        <v>11</v>
      </c>
      <c r="E37" s="4" t="s">
        <v>185</v>
      </c>
    </row>
    <row r="38" customFormat="false" ht="15" hidden="false" customHeight="false" outlineLevel="0" collapsed="false">
      <c r="A38" s="4" t="s">
        <v>186</v>
      </c>
      <c r="B38" s="4" t="s">
        <v>127</v>
      </c>
      <c r="C38" s="11" t="n">
        <f aca="false">C37*C19</f>
        <v>1104.6</v>
      </c>
      <c r="D38" s="6" t="s">
        <v>11</v>
      </c>
      <c r="E38" s="4" t="s">
        <v>187</v>
      </c>
    </row>
    <row r="39" customFormat="false" ht="15" hidden="false" customHeight="false" outlineLevel="0" collapsed="false">
      <c r="A39" s="4" t="s">
        <v>188</v>
      </c>
      <c r="B39" s="4" t="s">
        <v>127</v>
      </c>
      <c r="C39" s="11" t="n">
        <f aca="false">C37+C38</f>
        <v>12150.6</v>
      </c>
      <c r="D39" s="6" t="s">
        <v>11</v>
      </c>
      <c r="E39" s="4" t="s">
        <v>189</v>
      </c>
    </row>
    <row r="40" customFormat="false" ht="15" hidden="false" customHeight="false" outlineLevel="0" collapsed="false">
      <c r="A40" s="4" t="s">
        <v>190</v>
      </c>
      <c r="B40" s="4" t="s">
        <v>191</v>
      </c>
      <c r="C40" s="19" t="n">
        <f aca="false">C31/C39</f>
        <v>0.724244070251675</v>
      </c>
      <c r="D40" s="6" t="s">
        <v>11</v>
      </c>
      <c r="E40" s="4" t="s">
        <v>192</v>
      </c>
    </row>
    <row r="41" customFormat="false" ht="15" hidden="false" customHeight="false" outlineLevel="0" collapsed="false">
      <c r="A41" s="4" t="s">
        <v>193</v>
      </c>
      <c r="B41" s="4" t="s">
        <v>127</v>
      </c>
      <c r="C41" s="11" t="n">
        <f aca="false">C39/C20</f>
        <v>12790.1052631579</v>
      </c>
      <c r="D41" s="6" t="s">
        <v>11</v>
      </c>
      <c r="E41" s="4" t="s">
        <v>194</v>
      </c>
    </row>
    <row r="42" customFormat="false" ht="15" hidden="false" customHeight="false" outlineLevel="0" collapsed="false">
      <c r="A42" s="4" t="s">
        <v>195</v>
      </c>
      <c r="B42" s="4" t="s">
        <v>127</v>
      </c>
      <c r="C42" s="11" t="n">
        <f aca="false">IF(C21=0,"n/a",(C22-C23)*C21)</f>
        <v>19800</v>
      </c>
      <c r="D42" s="6" t="s">
        <v>11</v>
      </c>
      <c r="E42" s="4" t="s">
        <v>196</v>
      </c>
    </row>
    <row r="43" customFormat="false" ht="15" hidden="false" customHeight="false" outlineLevel="0" collapsed="false">
      <c r="A43" s="4" t="s">
        <v>197</v>
      </c>
      <c r="B43" s="4" t="s">
        <v>127</v>
      </c>
      <c r="C43" s="11" t="n">
        <f aca="false">IF(ISNUMBER(C42),C42-C39,"n/a")</f>
        <v>7649.4</v>
      </c>
      <c r="D43" s="6" t="s">
        <v>11</v>
      </c>
      <c r="E43" s="4" t="s">
        <v>198</v>
      </c>
    </row>
    <row r="44" customFormat="false" ht="15" hidden="false" customHeight="false" outlineLevel="0" collapsed="false">
      <c r="A44" s="4" t="s">
        <v>199</v>
      </c>
      <c r="B44" s="4" t="s">
        <v>191</v>
      </c>
      <c r="C44" s="19" t="n">
        <f aca="false">IF(ISNUMBER(C42),C39/C42,"n/a")</f>
        <v>0.613666666666667</v>
      </c>
      <c r="D44" s="6" t="s">
        <v>11</v>
      </c>
      <c r="E44" s="4" t="s">
        <v>200</v>
      </c>
    </row>
    <row r="45" customFormat="false" ht="15" hidden="false" customHeight="false" outlineLevel="0" collapsed="false">
      <c r="A45" s="4" t="s">
        <v>201</v>
      </c>
      <c r="B45" s="4"/>
      <c r="C45" s="20" t="str">
        <f aca="false">IF(ISNUMBER(C42),IF(C39&lt;=C42,"OK within redundant capacity","EXCEEDS redundant capacity"),"PSU data not published")</f>
        <v>OK within redundant capacity</v>
      </c>
      <c r="D45" s="6" t="s">
        <v>11</v>
      </c>
      <c r="E45" s="4"/>
    </row>
    <row r="46" customFormat="false" ht="15" hidden="false" customHeight="false" outlineLevel="0" collapsed="false">
      <c r="A46" s="4" t="s">
        <v>202</v>
      </c>
      <c r="B46" s="4" t="s">
        <v>127</v>
      </c>
      <c r="C46" s="11" t="str">
        <f aca="false">IF(C24&gt;0,C24*C21,"n/a")</f>
        <v>n/a</v>
      </c>
      <c r="D46" s="6" t="s">
        <v>11</v>
      </c>
      <c r="E46" s="4" t="s">
        <v>203</v>
      </c>
    </row>
    <row r="47" customFormat="false" ht="15" hidden="false" customHeight="false" outlineLevel="0" collapsed="false">
      <c r="A47" s="4" t="s">
        <v>204</v>
      </c>
      <c r="B47" s="4"/>
      <c r="C47" s="20" t="str">
        <f aca="false">IF(C24&gt;0,IF(C31&lt;=C46,"OK","EXCEEDS"),"n/a")</f>
        <v>n/a</v>
      </c>
      <c r="D47" s="6" t="s">
        <v>11</v>
      </c>
      <c r="E47" s="4" t="s">
        <v>205</v>
      </c>
    </row>
    <row r="48" customFormat="false" ht="15" hidden="false" customHeight="false" outlineLevel="0" collapsed="false">
      <c r="A48" s="4" t="s">
        <v>206</v>
      </c>
      <c r="B48" s="4" t="s">
        <v>207</v>
      </c>
      <c r="C48" s="11" t="n">
        <f aca="false">C41*3.412</f>
        <v>43639.8391578947</v>
      </c>
      <c r="D48" s="6" t="s">
        <v>11</v>
      </c>
      <c r="E48" s="4" t="s">
        <v>208</v>
      </c>
    </row>
    <row r="49" customFormat="false" ht="15" hidden="false" customHeight="false" outlineLevel="0" collapsed="false">
      <c r="A49" s="4" t="s">
        <v>209</v>
      </c>
      <c r="B49" s="4" t="s">
        <v>163</v>
      </c>
      <c r="C49" s="21" t="n">
        <f aca="false">C41/C6/1000</f>
        <v>1.59876315789474</v>
      </c>
      <c r="D49" s="6" t="s">
        <v>11</v>
      </c>
      <c r="E49" s="4" t="s">
        <v>210</v>
      </c>
    </row>
    <row r="50" customFormat="false" ht="15" hidden="false" customHeight="false" outlineLevel="0" collapsed="false">
      <c r="A50" s="4" t="s">
        <v>211</v>
      </c>
      <c r="B50" s="4" t="s">
        <v>124</v>
      </c>
      <c r="C50" s="22" t="n">
        <f aca="false">INT(C25*1000/C41)</f>
        <v>2</v>
      </c>
      <c r="D50" s="6" t="s">
        <v>11</v>
      </c>
      <c r="E50" s="4" t="s">
        <v>212</v>
      </c>
    </row>
    <row r="51" customFormat="false" ht="15" hidden="false" customHeight="false" outlineLevel="0" collapsed="false">
      <c r="A51" s="4" t="s">
        <v>213</v>
      </c>
      <c r="B51" s="4" t="s">
        <v>124</v>
      </c>
      <c r="C51" s="22" t="n">
        <f aca="false">INT(C27/C26)</f>
        <v>4</v>
      </c>
      <c r="D51" s="6" t="s">
        <v>11</v>
      </c>
      <c r="E51" s="4" t="s">
        <v>214</v>
      </c>
    </row>
    <row r="52" customFormat="false" ht="15" hidden="false" customHeight="false" outlineLevel="0" collapsed="false">
      <c r="A52" s="4" t="s">
        <v>215</v>
      </c>
      <c r="B52" s="4" t="s">
        <v>124</v>
      </c>
      <c r="C52" s="22" t="n">
        <f aca="false">MIN(C50,C51)</f>
        <v>2</v>
      </c>
      <c r="D52" s="6" t="s">
        <v>11</v>
      </c>
      <c r="E52" s="4" t="s">
        <v>216</v>
      </c>
    </row>
    <row r="53" customFormat="false" ht="15" hidden="false" customHeight="false" outlineLevel="0" collapsed="false">
      <c r="A53" s="4" t="s">
        <v>217</v>
      </c>
      <c r="B53" s="4" t="s">
        <v>124</v>
      </c>
      <c r="C53" s="22" t="n">
        <f aca="false">C52*C6</f>
        <v>16</v>
      </c>
      <c r="D53" s="6" t="s">
        <v>11</v>
      </c>
      <c r="E53" s="4" t="s">
        <v>218</v>
      </c>
    </row>
    <row r="54" customFormat="false" ht="15" hidden="false" customHeight="false" outlineLevel="0" collapsed="false">
      <c r="A54" s="4" t="s">
        <v>219</v>
      </c>
      <c r="B54" s="4" t="s">
        <v>163</v>
      </c>
      <c r="C54" s="23" t="n">
        <f aca="false">C52*C41/1000</f>
        <v>25.5802105263158</v>
      </c>
      <c r="D54" s="6" t="s">
        <v>11</v>
      </c>
      <c r="E54" s="4" t="s">
        <v>220</v>
      </c>
    </row>
    <row r="56" customFormat="false" ht="39" hidden="false" customHeight="true" outlineLevel="0" collapsed="false">
      <c r="A56" s="24" t="s">
        <v>221</v>
      </c>
      <c r="B56" s="24"/>
      <c r="C56" s="24"/>
      <c r="D56" s="24"/>
      <c r="E56" s="24"/>
    </row>
  </sheetData>
  <mergeCells count="1">
    <mergeCell ref="A56:E56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46"/>
    <col collapsed="false" customWidth="true" hidden="false" outlineLevel="0" max="8" min="8" style="0" width="8"/>
  </cols>
  <sheetData>
    <row r="1" customFormat="false" ht="19.7" hidden="false" customHeight="false" outlineLevel="0" collapsed="false">
      <c r="A1" s="1" t="s">
        <v>222</v>
      </c>
    </row>
    <row r="2" customFormat="false" ht="15" hidden="false" customHeight="false" outlineLevel="0" collapsed="false">
      <c r="A2" s="2" t="s">
        <v>223</v>
      </c>
    </row>
    <row r="4" customFormat="false" ht="15" hidden="false" customHeight="false" outlineLevel="0" collapsed="false">
      <c r="A4" s="9" t="s">
        <v>224</v>
      </c>
      <c r="B4" s="10"/>
      <c r="C4" s="10"/>
      <c r="D4" s="10"/>
      <c r="E4" s="10"/>
      <c r="F4" s="10"/>
      <c r="G4" s="10"/>
      <c r="H4" s="10"/>
    </row>
    <row r="5" customFormat="false" ht="15" hidden="false" customHeight="false" outlineLevel="0" collapsed="false">
      <c r="A5" s="3" t="s">
        <v>55</v>
      </c>
      <c r="B5" s="3" t="s">
        <v>225</v>
      </c>
      <c r="C5" s="3" t="s">
        <v>226</v>
      </c>
      <c r="D5" s="3" t="s">
        <v>9</v>
      </c>
      <c r="E5" s="3" t="s">
        <v>227</v>
      </c>
      <c r="F5" s="3" t="s">
        <v>228</v>
      </c>
      <c r="G5" s="3" t="s">
        <v>29</v>
      </c>
      <c r="H5" s="3" t="s">
        <v>4</v>
      </c>
    </row>
    <row r="6" customFormat="false" ht="15" hidden="false" customHeight="false" outlineLevel="0" collapsed="false">
      <c r="A6" s="4" t="s">
        <v>13</v>
      </c>
      <c r="B6" s="4" t="s">
        <v>229</v>
      </c>
      <c r="C6" s="4" t="s">
        <v>230</v>
      </c>
      <c r="D6" s="4" t="s">
        <v>231</v>
      </c>
      <c r="E6" s="4" t="s">
        <v>232</v>
      </c>
      <c r="F6" s="4" t="s">
        <v>233</v>
      </c>
      <c r="G6" s="4" t="s">
        <v>234</v>
      </c>
      <c r="H6" s="13" t="s">
        <v>45</v>
      </c>
    </row>
    <row r="7" customFormat="false" ht="15" hidden="false" customHeight="false" outlineLevel="0" collapsed="false">
      <c r="A7" s="4" t="s">
        <v>13</v>
      </c>
      <c r="B7" s="4" t="s">
        <v>235</v>
      </c>
      <c r="C7" s="4" t="s">
        <v>230</v>
      </c>
      <c r="D7" s="4" t="s">
        <v>231</v>
      </c>
      <c r="E7" s="4" t="s">
        <v>236</v>
      </c>
      <c r="F7" s="4" t="s">
        <v>237</v>
      </c>
      <c r="G7" s="4" t="s">
        <v>234</v>
      </c>
      <c r="H7" s="13" t="s">
        <v>45</v>
      </c>
    </row>
    <row r="8" customFormat="false" ht="15" hidden="false" customHeight="false" outlineLevel="0" collapsed="false">
      <c r="A8" s="4" t="s">
        <v>13</v>
      </c>
      <c r="B8" s="4" t="s">
        <v>238</v>
      </c>
      <c r="C8" s="4" t="s">
        <v>230</v>
      </c>
      <c r="D8" s="4" t="s">
        <v>239</v>
      </c>
      <c r="E8" s="4" t="s">
        <v>240</v>
      </c>
      <c r="F8" s="4" t="s">
        <v>241</v>
      </c>
      <c r="G8" s="4" t="s">
        <v>242</v>
      </c>
      <c r="H8" s="6" t="s">
        <v>11</v>
      </c>
    </row>
    <row r="9" customFormat="false" ht="15" hidden="false" customHeight="false" outlineLevel="0" collapsed="false">
      <c r="A9" s="4" t="s">
        <v>13</v>
      </c>
      <c r="B9" s="4" t="s">
        <v>243</v>
      </c>
      <c r="C9" s="4" t="s">
        <v>230</v>
      </c>
      <c r="D9" s="4" t="s">
        <v>239</v>
      </c>
      <c r="E9" s="4" t="s">
        <v>244</v>
      </c>
      <c r="F9" s="4" t="s">
        <v>245</v>
      </c>
      <c r="G9" s="4" t="s">
        <v>234</v>
      </c>
      <c r="H9" s="13" t="s">
        <v>45</v>
      </c>
    </row>
    <row r="10" customFormat="false" ht="15" hidden="false" customHeight="false" outlineLevel="0" collapsed="false">
      <c r="A10" s="4" t="s">
        <v>13</v>
      </c>
      <c r="B10" s="4" t="s">
        <v>246</v>
      </c>
      <c r="C10" s="4" t="s">
        <v>230</v>
      </c>
      <c r="D10" s="4" t="s">
        <v>247</v>
      </c>
      <c r="E10" s="4" t="s">
        <v>248</v>
      </c>
      <c r="F10" s="4" t="s">
        <v>241</v>
      </c>
      <c r="G10" s="4" t="s">
        <v>242</v>
      </c>
      <c r="H10" s="6" t="s">
        <v>11</v>
      </c>
    </row>
    <row r="11" customFormat="false" ht="15" hidden="false" customHeight="false" outlineLevel="0" collapsed="false">
      <c r="A11" s="4" t="s">
        <v>13</v>
      </c>
      <c r="B11" s="4" t="s">
        <v>249</v>
      </c>
      <c r="C11" s="4" t="s">
        <v>230</v>
      </c>
      <c r="D11" s="4" t="s">
        <v>247</v>
      </c>
      <c r="E11" s="4" t="s">
        <v>250</v>
      </c>
      <c r="F11" s="4" t="s">
        <v>245</v>
      </c>
      <c r="G11" s="4" t="s">
        <v>234</v>
      </c>
      <c r="H11" s="13" t="s">
        <v>45</v>
      </c>
    </row>
    <row r="12" customFormat="false" ht="15" hidden="false" customHeight="false" outlineLevel="0" collapsed="false">
      <c r="A12" s="4" t="s">
        <v>13</v>
      </c>
      <c r="B12" s="4" t="s">
        <v>251</v>
      </c>
      <c r="C12" s="4" t="s">
        <v>252</v>
      </c>
      <c r="D12" s="4" t="s">
        <v>231</v>
      </c>
      <c r="E12" s="4" t="s">
        <v>232</v>
      </c>
      <c r="F12" s="4" t="s">
        <v>233</v>
      </c>
      <c r="G12" s="4" t="s">
        <v>234</v>
      </c>
      <c r="H12" s="13" t="s">
        <v>45</v>
      </c>
    </row>
    <row r="13" customFormat="false" ht="15" hidden="false" customHeight="false" outlineLevel="0" collapsed="false">
      <c r="A13" s="4" t="s">
        <v>13</v>
      </c>
      <c r="B13" s="4" t="s">
        <v>253</v>
      </c>
      <c r="C13" s="4" t="s">
        <v>252</v>
      </c>
      <c r="D13" s="4" t="s">
        <v>231</v>
      </c>
      <c r="E13" s="4" t="s">
        <v>236</v>
      </c>
      <c r="F13" s="4" t="s">
        <v>237</v>
      </c>
      <c r="G13" s="4" t="s">
        <v>234</v>
      </c>
      <c r="H13" s="13" t="s">
        <v>45</v>
      </c>
    </row>
    <row r="14" customFormat="false" ht="15" hidden="false" customHeight="false" outlineLevel="0" collapsed="false">
      <c r="A14" s="4" t="s">
        <v>13</v>
      </c>
      <c r="B14" s="4" t="s">
        <v>254</v>
      </c>
      <c r="C14" s="4" t="s">
        <v>252</v>
      </c>
      <c r="D14" s="4" t="s">
        <v>239</v>
      </c>
      <c r="E14" s="4" t="s">
        <v>240</v>
      </c>
      <c r="F14" s="4" t="s">
        <v>241</v>
      </c>
      <c r="G14" s="4" t="s">
        <v>242</v>
      </c>
      <c r="H14" s="6" t="s">
        <v>11</v>
      </c>
    </row>
    <row r="15" customFormat="false" ht="15" hidden="false" customHeight="false" outlineLevel="0" collapsed="false">
      <c r="A15" s="4" t="s">
        <v>13</v>
      </c>
      <c r="B15" s="4" t="s">
        <v>255</v>
      </c>
      <c r="C15" s="4" t="s">
        <v>252</v>
      </c>
      <c r="D15" s="4" t="s">
        <v>239</v>
      </c>
      <c r="E15" s="4" t="s">
        <v>244</v>
      </c>
      <c r="F15" s="4" t="s">
        <v>245</v>
      </c>
      <c r="G15" s="4" t="s">
        <v>234</v>
      </c>
      <c r="H15" s="13" t="s">
        <v>45</v>
      </c>
    </row>
    <row r="16" customFormat="false" ht="15" hidden="false" customHeight="false" outlineLevel="0" collapsed="false">
      <c r="A16" s="4" t="s">
        <v>13</v>
      </c>
      <c r="B16" s="4" t="s">
        <v>256</v>
      </c>
      <c r="C16" s="4" t="s">
        <v>252</v>
      </c>
      <c r="D16" s="4" t="s">
        <v>247</v>
      </c>
      <c r="E16" s="4" t="s">
        <v>248</v>
      </c>
      <c r="F16" s="4" t="s">
        <v>241</v>
      </c>
      <c r="G16" s="4" t="s">
        <v>242</v>
      </c>
      <c r="H16" s="6" t="s">
        <v>11</v>
      </c>
    </row>
    <row r="17" customFormat="false" ht="15" hidden="false" customHeight="false" outlineLevel="0" collapsed="false">
      <c r="A17" s="4" t="s">
        <v>13</v>
      </c>
      <c r="B17" s="4" t="s">
        <v>257</v>
      </c>
      <c r="C17" s="4" t="s">
        <v>252</v>
      </c>
      <c r="D17" s="4" t="s">
        <v>247</v>
      </c>
      <c r="E17" s="4" t="s">
        <v>250</v>
      </c>
      <c r="F17" s="4" t="s">
        <v>245</v>
      </c>
      <c r="G17" s="4" t="s">
        <v>234</v>
      </c>
      <c r="H17" s="13" t="s">
        <v>45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258</v>
      </c>
    </row>
    <row r="2" customFormat="false" ht="15" hidden="false" customHeight="false" outlineLevel="0" collapsed="false">
      <c r="A2" s="2" t="s">
        <v>259</v>
      </c>
    </row>
    <row r="4" customFormat="false" ht="15" hidden="false" customHeight="false" outlineLevel="0" collapsed="false">
      <c r="A4" s="3" t="s">
        <v>260</v>
      </c>
      <c r="B4" s="3" t="s">
        <v>261</v>
      </c>
      <c r="C4" s="3" t="s">
        <v>262</v>
      </c>
      <c r="D4" s="3" t="s">
        <v>263</v>
      </c>
    </row>
    <row r="5" customFormat="false" ht="15" hidden="false" customHeight="false" outlineLevel="0" collapsed="false">
      <c r="A5" s="4" t="n">
        <v>1</v>
      </c>
      <c r="B5" s="4" t="s">
        <v>264</v>
      </c>
      <c r="C5" s="4" t="s">
        <v>265</v>
      </c>
      <c r="D5" s="4" t="s">
        <v>266</v>
      </c>
    </row>
    <row r="6" customFormat="false" ht="15" hidden="false" customHeight="false" outlineLevel="0" collapsed="false">
      <c r="A6" s="4" t="n">
        <v>2</v>
      </c>
      <c r="B6" s="4" t="s">
        <v>267</v>
      </c>
      <c r="C6" s="4" t="s">
        <v>268</v>
      </c>
      <c r="D6" s="4" t="s">
        <v>269</v>
      </c>
    </row>
    <row r="7" customFormat="false" ht="35.05" hidden="false" customHeight="false" outlineLevel="0" collapsed="false">
      <c r="A7" s="4" t="n">
        <v>3</v>
      </c>
      <c r="B7" s="4" t="s">
        <v>270</v>
      </c>
      <c r="C7" s="4" t="s">
        <v>271</v>
      </c>
      <c r="D7" s="4" t="s">
        <v>272</v>
      </c>
    </row>
    <row r="8" customFormat="false" ht="23.85" hidden="false" customHeight="false" outlineLevel="0" collapsed="false">
      <c r="A8" s="4" t="n">
        <v>4</v>
      </c>
      <c r="B8" s="4" t="s">
        <v>273</v>
      </c>
      <c r="C8" s="4" t="s">
        <v>274</v>
      </c>
      <c r="D8" s="4" t="s">
        <v>275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80"/>
    <col collapsed="false" customWidth="true" hidden="false" outlineLevel="0" max="4" min="4" style="0" width="8"/>
  </cols>
  <sheetData>
    <row r="1" customFormat="false" ht="19.7" hidden="false" customHeight="false" outlineLevel="0" collapsed="false">
      <c r="A1" s="1" t="s">
        <v>276</v>
      </c>
    </row>
    <row r="2" customFormat="false" ht="15" hidden="false" customHeight="false" outlineLevel="0" collapsed="false">
      <c r="A2" s="2" t="s">
        <v>277</v>
      </c>
    </row>
    <row r="4" customFormat="false" ht="15" hidden="false" customHeight="false" outlineLevel="0" collapsed="false">
      <c r="A4" s="3" t="s">
        <v>278</v>
      </c>
      <c r="B4" s="3" t="s">
        <v>5</v>
      </c>
      <c r="C4" s="3" t="s">
        <v>279</v>
      </c>
      <c r="D4" s="3" t="s">
        <v>280</v>
      </c>
    </row>
    <row r="5" customFormat="false" ht="15" hidden="false" customHeight="false" outlineLevel="0" collapsed="false">
      <c r="A5" s="4" t="s">
        <v>62</v>
      </c>
      <c r="B5" s="4" t="s">
        <v>281</v>
      </c>
      <c r="C5" s="4" t="s">
        <v>282</v>
      </c>
      <c r="D5" s="5" t="s">
        <v>8</v>
      </c>
    </row>
    <row r="6" customFormat="false" ht="15" hidden="false" customHeight="false" outlineLevel="0" collapsed="false">
      <c r="A6" s="4" t="s">
        <v>283</v>
      </c>
      <c r="B6" s="4" t="s">
        <v>284</v>
      </c>
      <c r="C6" s="4" t="s">
        <v>285</v>
      </c>
      <c r="D6" s="5" t="s">
        <v>8</v>
      </c>
    </row>
    <row r="7" customFormat="false" ht="23.85" hidden="false" customHeight="false" outlineLevel="0" collapsed="false">
      <c r="A7" s="4" t="s">
        <v>91</v>
      </c>
      <c r="B7" s="4" t="s">
        <v>286</v>
      </c>
      <c r="C7" s="4" t="s">
        <v>287</v>
      </c>
      <c r="D7" s="12" t="s">
        <v>41</v>
      </c>
    </row>
    <row r="8" customFormat="false" ht="23.85" hidden="false" customHeight="false" outlineLevel="0" collapsed="false">
      <c r="A8" s="4" t="s">
        <v>20</v>
      </c>
      <c r="B8" s="4" t="s">
        <v>288</v>
      </c>
      <c r="C8" s="4" t="s">
        <v>289</v>
      </c>
      <c r="D8" s="5" t="s">
        <v>8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290</v>
      </c>
    </row>
    <row r="2" customFormat="false" ht="15" hidden="false" customHeight="false" outlineLevel="0" collapsed="false">
      <c r="A2" s="2" t="s">
        <v>291</v>
      </c>
    </row>
    <row r="4" customFormat="false" ht="15" hidden="false" customHeight="false" outlineLevel="0" collapsed="false">
      <c r="A4" s="25" t="s">
        <v>292</v>
      </c>
    </row>
    <row r="5" customFormat="false" ht="15" hidden="false" customHeight="false" outlineLevel="0" collapsed="false">
      <c r="A5" s="25" t="s">
        <v>293</v>
      </c>
    </row>
    <row r="6" customFormat="false" ht="15" hidden="false" customHeight="false" outlineLevel="0" collapsed="false">
      <c r="A6" s="25" t="s">
        <v>294</v>
      </c>
    </row>
    <row r="7" customFormat="false" ht="15" hidden="false" customHeight="false" outlineLevel="0" collapsed="false">
      <c r="A7" s="25" t="s">
        <v>295</v>
      </c>
    </row>
    <row r="8" customFormat="false" ht="15" hidden="false" customHeight="false" outlineLevel="0" collapsed="false">
      <c r="A8" s="25" t="s">
        <v>296</v>
      </c>
    </row>
    <row r="9" customFormat="false" ht="15" hidden="false" customHeight="false" outlineLevel="0" collapsed="false">
      <c r="A9" s="25" t="s">
        <v>297</v>
      </c>
    </row>
    <row r="10" customFormat="false" ht="15" hidden="false" customHeight="false" outlineLevel="0" collapsed="false">
      <c r="A10" s="25" t="s">
        <v>298</v>
      </c>
    </row>
    <row r="11" customFormat="false" ht="15" hidden="false" customHeight="false" outlineLevel="0" collapsed="false">
      <c r="A11" s="25" t="s">
        <v>299</v>
      </c>
    </row>
    <row r="12" customFormat="false" ht="15" hidden="false" customHeight="false" outlineLevel="0" collapsed="false">
      <c r="A12" s="25" t="s">
        <v>300</v>
      </c>
    </row>
    <row r="13" customFormat="false" ht="15" hidden="false" customHeight="false" outlineLevel="0" collapsed="false">
      <c r="A13" s="25" t="s">
        <v>301</v>
      </c>
    </row>
    <row r="14" customFormat="false" ht="15" hidden="false" customHeight="false" outlineLevel="0" collapsed="false">
      <c r="A14" s="25" t="s">
        <v>302</v>
      </c>
    </row>
    <row r="15" customFormat="false" ht="15" hidden="false" customHeight="false" outlineLevel="0" collapsed="false">
      <c r="A15" s="25" t="s">
        <v>303</v>
      </c>
    </row>
    <row r="16" customFormat="false" ht="15" hidden="false" customHeight="false" outlineLevel="0" collapsed="false">
      <c r="A16" s="25" t="s">
        <v>304</v>
      </c>
    </row>
    <row r="17" customFormat="false" ht="15" hidden="false" customHeight="false" outlineLevel="0" collapsed="false">
      <c r="A17" s="25" t="s">
        <v>305</v>
      </c>
    </row>
    <row r="18" customFormat="false" ht="15" hidden="false" customHeight="false" outlineLevel="0" collapsed="false">
      <c r="A18" s="25" t="s">
        <v>306</v>
      </c>
    </row>
    <row r="19" customFormat="false" ht="15" hidden="false" customHeight="false" outlineLevel="0" collapsed="false">
      <c r="A19" s="25" t="s">
        <v>307</v>
      </c>
    </row>
    <row r="20" customFormat="false" ht="15" hidden="false" customHeight="false" outlineLevel="0" collapsed="false">
      <c r="A20" s="25" t="s">
        <v>308</v>
      </c>
    </row>
    <row r="21" customFormat="false" ht="15" hidden="false" customHeight="false" outlineLevel="0" collapsed="false">
      <c r="A21" s="25" t="s">
        <v>309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2026-09-26T03:22:40Z</dcterms:created>
  <dc:creator>openpyxl</dc:creator>
  <dc:description/>
  <dc:language>en-US</dc:language>
  <cp:lastModifiedBy/>
  <dcterms:modified xsi:type="dcterms:W3CDTF">2026-09-26T03:22:40Z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