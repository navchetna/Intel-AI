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1_System_Spec" sheetId="2" state="visible" r:id="rId4"/>
    <sheet name="2_Components" sheetId="3" state="visible" r:id="rId5"/>
    <sheet name="3_Power_Rules" sheetId="4" state="visible" r:id="rId6"/>
    <sheet name="4_Power_Budget" sheetId="5" state="visible" r:id="rId7"/>
    <sheet name="5_Host_CPU_Map" sheetId="6" state="visible" r:id="rId8"/>
    <sheet name="Open_Questions" sheetId="7" state="visible" r:id="rId9"/>
    <sheet name="Sources" sheetId="8" state="visible" r:id="rId10"/>
    <sheet name="Planner_YAML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<sst xmlns="http://schemas.openxmlformats.org/spreadsheetml/2006/main" count="752" uniqueCount="383">
  <si>
    <t xml:space="preserve">HPE × NVIDIA H200 NVL — System Reference</t>
  </si>
  <si>
    <t xml:space="preserve">OEM system options for the Mid-range (HBM/NVLink) tier · Xeon 6-hosted designs · Compiled 25 September 2026</t>
  </si>
  <si>
    <t xml:space="preserve">Attribute</t>
  </si>
  <si>
    <t xml:space="preserve">Value</t>
  </si>
  <si>
    <t xml:space="preserve">Tag</t>
  </si>
  <si>
    <t xml:space="preserve">Source</t>
  </si>
  <si>
    <t xml:space="preserve">GPU</t>
  </si>
  <si>
    <t xml:space="preserve">NVIDIA H200 NVL</t>
  </si>
  <si>
    <t xml:space="preserve">[I]</t>
  </si>
  <si>
    <t xml:space="preserve">Tier</t>
  </si>
  <si>
    <t xml:space="preserve">Mid-range (HBM/NVLink)</t>
  </si>
  <si>
    <t xml:space="preserve">[D]</t>
  </si>
  <si>
    <t xml:space="preserve">System(s)</t>
  </si>
  <si>
    <t xml:space="preserve">DL380a Gen12</t>
  </si>
  <si>
    <t xml:space="preserve">Host socket / series</t>
  </si>
  <si>
    <t xml:space="preserve">DL380a Gen12: LGA-4710 (Xeon 6700P / 6700E (6500P))</t>
  </si>
  <si>
    <t xml:space="preserve">GPU silicon reference</t>
  </si>
  <si>
    <t xml:space="preserve">NVIDIA_H200-NVL_Reference.xlsx</t>
  </si>
  <si>
    <t xml:space="preserve">Host CPU reference</t>
  </si>
  <si>
    <t xml:space="preserve">Intel_Xeon6_Workload_SKU_Recommendations.xlsx rows 71-82 (see 5_Host_CPU_Map)</t>
  </si>
  <si>
    <t xml:space="preserve">X5</t>
  </si>
  <si>
    <t xml:space="preserve">Cross-OEM comparison</t>
  </si>
  <si>
    <t xml:space="preserve">NVIDIA_Enterprise_GPU_Index.xlsx</t>
  </si>
  <si>
    <t xml:space="preserve">POSITIONING</t>
  </si>
  <si>
    <t xml:space="preserve">The only HPE mainstream chassis that takes 10 double-wide H200 NVL and the 4-way NVLink bridge; the HBM/NVLink mid-tier option with 5-year NVAIE bundled.</t>
  </si>
  <si>
    <t xml:space="preserve">Power at a glance (live links to 4_Power_Budget)</t>
  </si>
  <si>
    <t xml:space="preserve">Scenario</t>
  </si>
  <si>
    <t xml:space="preserve">Est. max DC load (W)</t>
  </si>
  <si>
    <t xml:space="preserve">PSU redundant output (W)</t>
  </si>
  <si>
    <t xml:space="preserve">Status</t>
  </si>
  <si>
    <t xml:space="preserve">4× H200 NVL (one 4-way NVLink island) · 5× 3200 W</t>
  </si>
  <si>
    <t xml:space="preserve">8× H200 NVL (two 4-way islands) · 8× 3200 W</t>
  </si>
  <si>
    <t xml:space="preserve">10× H200 NVL (max) · 8× 3200 W</t>
  </si>
  <si>
    <t xml:space="preserve">Provenance discipline</t>
  </si>
  <si>
    <t xml:space="preserve">Meaning</t>
  </si>
  <si>
    <t xml:space="preserve">Confidence</t>
  </si>
  <si>
    <t xml:space="preserve">Use in planning</t>
  </si>
  <si>
    <t xml:space="preserve">Vendor-published (NVIDIA datasheet/product page, OEM spec sheet, QuickSpecs, product guide)</t>
  </si>
  <si>
    <t xml:space="preserve">High</t>
  </si>
  <si>
    <t xml:space="preserve">Plan against</t>
  </si>
  <si>
    <t xml:space="preserve">Derived here by stated arithmetic from [I] values (formula visible in cell)</t>
  </si>
  <si>
    <t xml:space="preserve">Medium-High</t>
  </si>
  <si>
    <t xml:space="preserve">Use; check formula</t>
  </si>
  <si>
    <t xml:space="preserve">[3P]</t>
  </si>
  <si>
    <t xml:space="preserve">Third-party measurement, reseller listing or press arithmetic</t>
  </si>
  <si>
    <t xml:space="preserve">Medium</t>
  </si>
  <si>
    <t xml:space="preserve">Cross-check before bid</t>
  </si>
  <si>
    <t xml:space="preserve">[U]</t>
  </si>
  <si>
    <t xml:space="preserve">Unpublished / unverified / planning assumption (editable input)</t>
  </si>
  <si>
    <t xml:space="preserve">Low</t>
  </si>
  <si>
    <t xml:space="preserve">Replace with OEM calculator output</t>
  </si>
  <si>
    <t xml:space="preserve">[N]</t>
  </si>
  <si>
    <t xml:space="preserve">Not applicable / not supported</t>
  </si>
  <si>
    <t xml:space="preserve">-</t>
  </si>
  <si>
    <t xml:space="preserve">1 · System specifications</t>
  </si>
  <si>
    <t xml:space="preserve">One block per chassis. Conflicts between sources are shown side-by-side, not resolved silently.</t>
  </si>
  <si>
    <t xml:space="preserve">DL380a Gen12  (HPE)</t>
  </si>
  <si>
    <t xml:space="preserve">System</t>
  </si>
  <si>
    <t xml:space="preserve">Section</t>
  </si>
  <si>
    <t xml:space="preserve">Parameter</t>
  </si>
  <si>
    <t xml:space="preserve">Src</t>
  </si>
  <si>
    <t xml:space="preserve">Identity</t>
  </si>
  <si>
    <t xml:space="preserve">Model</t>
  </si>
  <si>
    <t xml:space="preserve">HPE ProLiant Compute DL380a Gen12</t>
  </si>
  <si>
    <t xml:space="preserve">H2</t>
  </si>
  <si>
    <t xml:space="preserve">CTO base SKUs</t>
  </si>
  <si>
    <t xml:space="preserve">P74461-B21 (8DW, iLO 6 - not upgradable to iLO 7); P76706-B21 (8DW/16SW)</t>
  </si>
  <si>
    <t xml:space="preserve">H1, H5</t>
  </si>
  <si>
    <t xml:space="preserve">Form factor</t>
  </si>
  <si>
    <t xml:space="preserve">4U, 2-socket rack</t>
  </si>
  <si>
    <t xml:space="preserve">Processor</t>
  </si>
  <si>
    <t xml:space="preserve">CPU</t>
  </si>
  <si>
    <t xml:space="preserve">Up to 2× Intel Xeon 6; up to 144 cores at 250 W (E-core 6700E) - P-core 6700P options also offered</t>
  </si>
  <si>
    <t xml:space="preserve">Socket</t>
  </si>
  <si>
    <t xml:space="preserve">LGA-4710 (6700/6500 platform)</t>
  </si>
  <si>
    <t xml:space="preserve">Memory</t>
  </si>
  <si>
    <t xml:space="preserve">Slots / speed</t>
  </si>
  <si>
    <t xml:space="preserve">32 DDR5 DIMMs, up to 6400 MT/s</t>
  </si>
  <si>
    <t xml:space="preserve">H1</t>
  </si>
  <si>
    <t xml:space="preserve">Max capacity</t>
  </si>
  <si>
    <t xml:space="preserve">Up to 4 TB (HPE store) · 8 TB (reseller part list)</t>
  </si>
  <si>
    <t xml:space="preserve">Supported configurations</t>
  </si>
  <si>
    <t xml:space="preserve">Up to 16 single-wide NVIDIA L4, or 10 double-wide L40S / H100 NVL / H200 NVL, or 8 double-wide RTX PRO 6000 BSE</t>
  </si>
  <si>
    <t xml:space="preserve">Per-GPU power</t>
  </si>
  <si>
    <t xml:space="preserve">Double-wide GPUs up to 600 W each</t>
  </si>
  <si>
    <t xml:space="preserve">H5</t>
  </si>
  <si>
    <t xml:space="preserve">GPU interconnect</t>
  </si>
  <si>
    <t xml:space="preserve">NVIDIA 4-way NVLink bridge between neighbouring GPUs (H100/H200 NVL); PCIe Gen5 switch boards and captive risers</t>
  </si>
  <si>
    <t xml:space="preserve">Expansion</t>
  </si>
  <si>
    <t xml:space="preserve">Slots</t>
  </si>
  <si>
    <t xml:space="preserve">Up to 6× PCIe Gen5 x16 + 2× OCP 3.0 (rear)</t>
  </si>
  <si>
    <t xml:space="preserve">Storage</t>
  </si>
  <si>
    <t xml:space="preserve">Front bays</t>
  </si>
  <si>
    <t xml:space="preserve">8× SFF NVMe or 16× EDSFF E3.S; plus 2× NVMe boot (NS204i-u v2)</t>
  </si>
  <si>
    <t xml:space="preserve">Power</t>
  </si>
  <si>
    <t xml:space="preserve">PSU family</t>
  </si>
  <si>
    <t xml:space="preserve">HPE M-CRPS Titanium hot-plug: 1500 W / 2400 W / 3200 W; up to 96% efficiency</t>
  </si>
  <si>
    <t xml:space="preserve">PSU count</t>
  </si>
  <si>
    <t xml:space="preserve">Up to 8 PSUs</t>
  </si>
  <si>
    <t xml:space="preserve">H1, H3</t>
  </si>
  <si>
    <t xml:space="preserve">Power domains</t>
  </si>
  <si>
    <t xml:space="preserve">Three power domains - two with six PSUs dedicated to GPUs</t>
  </si>
  <si>
    <t xml:space="preserve">Heat (2400 W PSU)</t>
  </si>
  <si>
    <t xml:space="preserve">8,572 BTU/hr @200 VAC · 8,540 @220 VAC · 8,539 @240 VAC</t>
  </si>
  <si>
    <t xml:space="preserve">Heat (3200 W PSU)</t>
  </si>
  <si>
    <t xml:space="preserve">10,577 BTU/hr @200 VAC · 11,713 @220 VAC · 11,699 @240 VAC</t>
  </si>
  <si>
    <t xml:space="preserve">Cooling</t>
  </si>
  <si>
    <t xml:space="preserve">Method</t>
  </si>
  <si>
    <t xml:space="preserve">Air-cooled; optional Direct Liquid Cooling (DLC)</t>
  </si>
  <si>
    <t xml:space="preserve">Fans</t>
  </si>
  <si>
    <t xml:space="preserve">4 hot-plug fan assemblies</t>
  </si>
  <si>
    <t xml:space="preserve">Environment</t>
  </si>
  <si>
    <t xml:space="preserve">Inlet temperature</t>
  </si>
  <si>
    <t xml:space="preserve">10-35 °C at sea level; derate 1.0 °C per 305 m to 3,050 m; extended 5-40 °C for approved configurations; performance may reduce above 30 °C with a fan fault</t>
  </si>
  <si>
    <t xml:space="preserve">Management</t>
  </si>
  <si>
    <t xml:space="preserve">BMC</t>
  </si>
  <si>
    <t xml:space="preserve">HPE iLO 7 (iLO 6 on P74461-B21); Silicon Root of Trust; detachable DC-MHS iLO module</t>
  </si>
  <si>
    <t xml:space="preserve">Physical</t>
  </si>
  <si>
    <t xml:space="preserve">Dimensions / weight</t>
  </si>
  <si>
    <t xml:space="preserve">Not captured in retrieved sources</t>
  </si>
  <si>
    <t xml:space="preserve">This workbook</t>
  </si>
  <si>
    <t xml:space="preserve">GPU population</t>
  </si>
  <si>
    <t xml:space="preserve">NVIDIA H200 NVL — max per chassis per GPU config rows above; power scenarios on 4_Power_Budget</t>
  </si>
  <si>
    <t xml:space="preserve">2 · Component and option list</t>
  </si>
  <si>
    <t xml:space="preserve">Part / feature codes as published. Max qty is per system. Use for BOM drafting; confirm in OEM configurator.</t>
  </si>
  <si>
    <t xml:space="preserve">Subsystem</t>
  </si>
  <si>
    <t xml:space="preserve">Component</t>
  </si>
  <si>
    <t xml:space="preserve">Part / feature code</t>
  </si>
  <si>
    <t xml:space="preserve">Max qty</t>
  </si>
  <si>
    <t xml:space="preserve">Spec</t>
  </si>
  <si>
    <t xml:space="preserve">Note</t>
  </si>
  <si>
    <t xml:space="preserve">Intel Xeon 6 (6700P P-core or 6700E E-core)</t>
  </si>
  <si>
    <t xml:space="preserve">CTO</t>
  </si>
  <si>
    <t xml:space="preserve">E-core parts: no AMX</t>
  </si>
  <si>
    <t xml:space="preserve">Pick P-core for host-side AMX inference</t>
  </si>
  <si>
    <t xml:space="preserve">DDR5 RDIMM</t>
  </si>
  <si>
    <t xml:space="preserve">Up to 6400 MT/s</t>
  </si>
  <si>
    <t xml:space="preserve">NVIDIA RTX PRO 6000 Blackwell 96GB PCIe</t>
  </si>
  <si>
    <t xml:space="preserve">S6A73C</t>
  </si>
  <si>
    <t xml:space="preserve">600 W DW</t>
  </si>
  <si>
    <t xml:space="preserve">NVIDIA RTX PRO 6000D Blackwell 48GB PCIe</t>
  </si>
  <si>
    <t xml:space="preserve">S6W21C</t>
  </si>
  <si>
    <t xml:space="preserve">Regional variant</t>
  </si>
  <si>
    <t xml:space="preserve">NVIDIA H200 NVL 141GB PCIe</t>
  </si>
  <si>
    <t xml:space="preserve">S3U30C</t>
  </si>
  <si>
    <t xml:space="preserve">NVIDIA 2-way NVLink Bridge for H200 NVL</t>
  </si>
  <si>
    <t xml:space="preserve">S4A90C</t>
  </si>
  <si>
    <t xml:space="preserve">NVIDIA 4-way NVLink Bridge for H200 NVL</t>
  </si>
  <si>
    <t xml:space="preserve">S4A91C</t>
  </si>
  <si>
    <t xml:space="preserve">900 GB/s</t>
  </si>
  <si>
    <t xml:space="preserve">HPE NVIDIA L4 SW 24GB 72W</t>
  </si>
  <si>
    <t xml:space="preserve">S0K89C</t>
  </si>
  <si>
    <t xml:space="preserve">72 W SW</t>
  </si>
  <si>
    <t xml:space="preserve">HPE NVIDIA L40S DW 48GB 300W</t>
  </si>
  <si>
    <t xml:space="preserve">S2L70C</t>
  </si>
  <si>
    <t xml:space="preserve">HPE NVIDIA L20 48GB 300W</t>
  </si>
  <si>
    <t xml:space="preserve">S4A92C</t>
  </si>
  <si>
    <t xml:space="preserve">HPE M-CRPS 1500W Titanium Hot Plug PSU Kit</t>
  </si>
  <si>
    <t xml:space="preserve">P67244-B21</t>
  </si>
  <si>
    <t xml:space="preserve">Ships with C13-C14 2 m cord P67847-B21</t>
  </si>
  <si>
    <t xml:space="preserve">H3, H1</t>
  </si>
  <si>
    <t xml:space="preserve">HPE M-CRPS 2400W Titanium Hot Plug PSU Kit</t>
  </si>
  <si>
    <t xml:space="preserve">P67252-B21</t>
  </si>
  <si>
    <t xml:space="preserve">C19 only; ships with C19-C20 2 m cord P67845-B21</t>
  </si>
  <si>
    <t xml:space="preserve">HPE M-CRPS 3200W Titanium Hot Plug PSU Kit</t>
  </si>
  <si>
    <t xml:space="preserve">P67248-B21</t>
  </si>
  <si>
    <t xml:space="preserve">C19 only</t>
  </si>
  <si>
    <t xml:space="preserve">H3</t>
  </si>
  <si>
    <t xml:space="preserve">PDB kit</t>
  </si>
  <si>
    <t xml:space="preserve">(QuickSpecs)</t>
  </si>
  <si>
    <t xml:space="preserve">Required on P74461-B21 when &gt;5 PSUs</t>
  </si>
  <si>
    <t xml:space="preserve">Boot</t>
  </si>
  <si>
    <t xml:space="preserve">HPE NS204i-u v2 Boot Optimized Storage Device</t>
  </si>
  <si>
    <t xml:space="preserve">2× NVMe M.2 RAID1</t>
  </si>
  <si>
    <t xml:space="preserve">HPE iLO 7</t>
  </si>
  <si>
    <t xml:space="preserve">embedded</t>
  </si>
  <si>
    <t xml:space="preserve">3 · OEM-published power and PSU rules</t>
  </si>
  <si>
    <t xml:space="preserve">These constrain the scenarios on 4_Power_Budget. [U] rows are gaps to close with the OEM.</t>
  </si>
  <si>
    <t xml:space="preserve">Rule</t>
  </si>
  <si>
    <t xml:space="preserve">2400 W or 3200 W PSUs are required for H100 / H200 NVL GPUs</t>
  </si>
  <si>
    <t xml:space="preserve">Quantity 5 PSUs (2 for system board, 3 for GPUs) required for 2 or 4 double-wide GPU configurations</t>
  </si>
  <si>
    <t xml:space="preserve">Quantity 8 PSUs required for 8 or 10 double-wide GPU configurations</t>
  </si>
  <si>
    <t xml:space="preserve">P74461-B21 (8DW CTO): more than 5 PSUs requires 1× PDB kit; P76706-B21 (8DW/16SW) needs no PDB</t>
  </si>
  <si>
    <t xml:space="preserve">2400 W and 3200 W PSUs support C19 / C19-C20 cords only; cord count must match PSU count on P76706-B21</t>
  </si>
  <si>
    <t xml:space="preserve">Three power domains; two domains of six PSUs dedicated to GPUs</t>
  </si>
  <si>
    <t xml:space="preserve">Run HPE Power Advisor before PSU selection</t>
  </si>
  <si>
    <t xml:space="preserve">Reviewed unit: 4× RTX PRO 6000 (600 W) on five 2400 W PSUs, N+1</t>
  </si>
  <si>
    <t xml:space="preserve">4 · Node power budget and rack fit (live model)</t>
  </si>
  <si>
    <t xml:space="preserve">Blue-on-yellow cells are inputs. Component load is compared with PSU OUTPUT capacity in redundant mode; AC input and rack fit use PSU efficiency. Replace [U] inputs with OEM calculator output before any facility commitment.</t>
  </si>
  <si>
    <t xml:space="preserve">Input</t>
  </si>
  <si>
    <t xml:space="preserve">Unit</t>
  </si>
  <si>
    <t xml:space="preserve">Basis</t>
  </si>
  <si>
    <t xml:space="preserve">GPUs installed</t>
  </si>
  <si>
    <t xml:space="preserve">count</t>
  </si>
  <si>
    <t xml:space="preserve">OEM max / scenario choice</t>
  </si>
  <si>
    <t xml:space="preserve">GPU max power</t>
  </si>
  <si>
    <t xml:space="preserve">W</t>
  </si>
  <si>
    <t xml:space="preserve">NVIDIA / OEM GPU TDP</t>
  </si>
  <si>
    <t xml:space="preserve">CPUs</t>
  </si>
  <si>
    <t xml:space="preserve">OEM spec</t>
  </si>
  <si>
    <t xml:space="preserve">CPU TDP</t>
  </si>
  <si>
    <t xml:space="preserve">Scenario SKU choice - see 5_Host_CPU_Map</t>
  </si>
  <si>
    <t xml:space="preserve">DIMMs</t>
  </si>
  <si>
    <t xml:space="preserve">Scenario choice (max per 1_System_Spec)</t>
  </si>
  <si>
    <t xml:space="preserve">Power per DDR5 RDIMM</t>
  </si>
  <si>
    <t xml:space="preserve">Planning assumption; replace with OEM calculator</t>
  </si>
  <si>
    <t xml:space="preserve">Data drives (NVMe)</t>
  </si>
  <si>
    <t xml:space="preserve">Scenario choice</t>
  </si>
  <si>
    <t xml:space="preserve">Power per data drive</t>
  </si>
  <si>
    <t xml:space="preserve">Planning assumption: Gen5 U.2/E3.S ≈25 W, E1.S ≈20 W</t>
  </si>
  <si>
    <t xml:space="preserve">Boot drives (M.2)</t>
  </si>
  <si>
    <t xml:space="preserve">Power per boot drive</t>
  </si>
  <si>
    <t xml:space="preserve">Planning assumption</t>
  </si>
  <si>
    <t xml:space="preserve">Add-in NICs / DPUs</t>
  </si>
  <si>
    <t xml:space="preserve">Scenario choice (N-S and/or E-W add-in)</t>
  </si>
  <si>
    <t xml:space="preserve">Power per NIC / DPU</t>
  </si>
  <si>
    <t xml:space="preserve">Planning assumption: CX-7 class ≈25 W; BlueField-3 ≈75 W</t>
  </si>
  <si>
    <t xml:space="preserve">Baseboard / PCIe switch / NVSwitch / on-board CX-8 overhead</t>
  </si>
  <si>
    <t xml:space="preserve">Planning placeholder - largest uncertainty on HGX nodes</t>
  </si>
  <si>
    <t xml:space="preserve">Fans, VRs and conversion overhead</t>
  </si>
  <si>
    <t xml:space="preserve">% of component load</t>
  </si>
  <si>
    <t xml:space="preserve">PSU efficiency at operating load</t>
  </si>
  <si>
    <t xml:space="preserve">fraction</t>
  </si>
  <si>
    <t xml:space="preserve">80 PLUS Titanium ≈94-96% (HPE states up to 96%)</t>
  </si>
  <si>
    <t xml:space="preserve">PSU output rating at site input voltage (0 = unpublished)</t>
  </si>
  <si>
    <t xml:space="preserve">PSUs installed</t>
  </si>
  <si>
    <t xml:space="preserve">OEM spec / scenario</t>
  </si>
  <si>
    <t xml:space="preserve">PSUs held for redundancy</t>
  </si>
  <si>
    <t xml:space="preserve">N+1 = 1, N+N = half</t>
  </si>
  <si>
    <t xml:space="preserve">PSUs in dedicated GPU power domain (0 = not modelled)</t>
  </si>
  <si>
    <t xml:space="preserve">HPE DL380a only</t>
  </si>
  <si>
    <t xml:space="preserve">Rack power budget</t>
  </si>
  <si>
    <t xml:space="preserve">kW</t>
  </si>
  <si>
    <t xml:space="preserve">Your facility figure</t>
  </si>
  <si>
    <t xml:space="preserve">Node height</t>
  </si>
  <si>
    <t xml:space="preserve">RU</t>
  </si>
  <si>
    <t xml:space="preserve">Usable rack units for compute</t>
  </si>
  <si>
    <t xml:space="preserve">42U minus ToR, PDU, patch</t>
  </si>
  <si>
    <t xml:space="preserve">Outputs (formulas)</t>
  </si>
  <si>
    <t xml:space="preserve">Output</t>
  </si>
  <si>
    <t xml:space="preserve">Formula basis</t>
  </si>
  <si>
    <t xml:space="preserve">GPU load</t>
  </si>
  <si>
    <t xml:space="preserve">GPUs × GPU W</t>
  </si>
  <si>
    <t xml:space="preserve">CPU load</t>
  </si>
  <si>
    <t xml:space="preserve">CPUs × TDP</t>
  </si>
  <si>
    <t xml:space="preserve">Memory load</t>
  </si>
  <si>
    <t xml:space="preserve">DIMMs × W</t>
  </si>
  <si>
    <t xml:space="preserve">Storage load</t>
  </si>
  <si>
    <t xml:space="preserve">drives × W + boot × W</t>
  </si>
  <si>
    <t xml:space="preserve">Network add-in load</t>
  </si>
  <si>
    <t xml:space="preserve">NICs × W</t>
  </si>
  <si>
    <t xml:space="preserve">Baseboard / switch overhead</t>
  </si>
  <si>
    <t xml:space="preserve">input</t>
  </si>
  <si>
    <t xml:space="preserve">Component subtotal</t>
  </si>
  <si>
    <t xml:space="preserve">sum of above</t>
  </si>
  <si>
    <t xml:space="preserve">Fans / VR / conversion</t>
  </si>
  <si>
    <t xml:space="preserve">subtotal × %</t>
  </si>
  <si>
    <t xml:space="preserve">Estimated max DC load</t>
  </si>
  <si>
    <t xml:space="preserve">subtotal + fans</t>
  </si>
  <si>
    <t xml:space="preserve">GPU share of DC load</t>
  </si>
  <si>
    <t xml:space="preserve">%</t>
  </si>
  <si>
    <t xml:space="preserve">GPU ÷ DC</t>
  </si>
  <si>
    <t xml:space="preserve">Estimated max AC input</t>
  </si>
  <si>
    <t xml:space="preserve">DC ÷ efficiency</t>
  </si>
  <si>
    <t xml:space="preserve">PSU output in redundant mode</t>
  </si>
  <si>
    <t xml:space="preserve">(installed − redundant) × rating</t>
  </si>
  <si>
    <t xml:space="preserve">Headroom (redundant)</t>
  </si>
  <si>
    <t xml:space="preserve">capacity − DC load</t>
  </si>
  <si>
    <t xml:space="preserve">PSU utilisation (redundant)</t>
  </si>
  <si>
    <t xml:space="preserve">DC ÷ capacity</t>
  </si>
  <si>
    <t xml:space="preserve">Redundancy check</t>
  </si>
  <si>
    <t xml:space="preserve">GPU-domain PSU output (no domain redundancy)</t>
  </si>
  <si>
    <t xml:space="preserve">GPU-domain PSUs × rating</t>
  </si>
  <si>
    <t xml:space="preserve">GPU-domain check</t>
  </si>
  <si>
    <t xml:space="preserve">GPU load ≤ domain output</t>
  </si>
  <si>
    <t xml:space="preserve">Heat load</t>
  </si>
  <si>
    <t xml:space="preserve">BTU/hr</t>
  </si>
  <si>
    <t xml:space="preserve">AC W × 3.412</t>
  </si>
  <si>
    <t xml:space="preserve">AC power per GPU (all-in)</t>
  </si>
  <si>
    <t xml:space="preserve">AC ÷ GPUs</t>
  </si>
  <si>
    <t xml:space="preserve">Nodes per rack - power limited</t>
  </si>
  <si>
    <t xml:space="preserve">rack W ÷ node AC</t>
  </si>
  <si>
    <t xml:space="preserve">Nodes per rack - space limited</t>
  </si>
  <si>
    <t xml:space="preserve">usable RU ÷ node RU</t>
  </si>
  <si>
    <t xml:space="preserve">Nodes per rack</t>
  </si>
  <si>
    <t xml:space="preserve">min(power, space)</t>
  </si>
  <si>
    <t xml:space="preserve">GPUs per rack</t>
  </si>
  <si>
    <t xml:space="preserve">nodes × GPUs</t>
  </si>
  <si>
    <t xml:space="preserve">Rack AC load at that fit</t>
  </si>
  <si>
    <t xml:space="preserve">nodes × AC</t>
  </si>
  <si>
    <t xml:space="preserve">Estimate is a planning ceiling at nameplate GPU/CPU power, not a measured draw. Sustained inference typically runs below nameplate; training and burn-in approach it. PSU ratings are OUTPUT watts at the stated input voltage - check derates (e.g., Dell 3200 W → 2900 W at 200-220 VAC; Lenovo 3200 W is 230 V-only).</t>
  </si>
  <si>
    <t xml:space="preserve">5 · Host CPU map against the Xeon 6 SKU workbook</t>
  </si>
  <si>
    <t xml:space="preserve">Rows 71-82 of 'SKU Recommendations' (GPU host CPU). Socket is the first filter; OEM qualified list the second.</t>
  </si>
  <si>
    <t xml:space="preserve">DL380a Gen12 — socket LGA-4710; series Xeon 6700P / 6700E (6500P)</t>
  </si>
  <si>
    <t xml:space="preserve">Workbook row</t>
  </si>
  <si>
    <t xml:space="preserve">Workload</t>
  </si>
  <si>
    <t xml:space="preserve">SKU</t>
  </si>
  <si>
    <t xml:space="preserve">Cores/TDP</t>
  </si>
  <si>
    <t xml:space="preserve">Row 71</t>
  </si>
  <si>
    <t xml:space="preserve">Training</t>
  </si>
  <si>
    <t xml:space="preserve">Good</t>
  </si>
  <si>
    <t xml:space="preserve">6747P</t>
  </si>
  <si>
    <t xml:space="preserve">48C/330W</t>
  </si>
  <si>
    <t xml:space="preserve">Socket-compatible; OEM qualification unverified</t>
  </si>
  <si>
    <t xml:space="preserve">Row 72</t>
  </si>
  <si>
    <t xml:space="preserve">6732P</t>
  </si>
  <si>
    <t xml:space="preserve">32C/350W</t>
  </si>
  <si>
    <t xml:space="preserve">Row 73</t>
  </si>
  <si>
    <t xml:space="preserve">Better</t>
  </si>
  <si>
    <t xml:space="preserve">6960P</t>
  </si>
  <si>
    <t xml:space="preserve">72C/500W</t>
  </si>
  <si>
    <t xml:space="preserve">Not installable - 6900P is LGA-7529</t>
  </si>
  <si>
    <t xml:space="preserve">Row 74</t>
  </si>
  <si>
    <t xml:space="preserve">6767P</t>
  </si>
  <si>
    <t xml:space="preserve">64C/350W</t>
  </si>
  <si>
    <t xml:space="preserve">Row 75</t>
  </si>
  <si>
    <t xml:space="preserve">Best</t>
  </si>
  <si>
    <t xml:space="preserve">6962P*</t>
  </si>
  <si>
    <t xml:space="preserve">Row 76</t>
  </si>
  <si>
    <t xml:space="preserve">6776P*</t>
  </si>
  <si>
    <t xml:space="preserve">Row 77</t>
  </si>
  <si>
    <t xml:space="preserve">Inference</t>
  </si>
  <si>
    <t xml:space="preserve">Row 78</t>
  </si>
  <si>
    <t xml:space="preserve">Row 79</t>
  </si>
  <si>
    <t xml:space="preserve">Row 80</t>
  </si>
  <si>
    <t xml:space="preserve">Row 81</t>
  </si>
  <si>
    <t xml:space="preserve">Row 82</t>
  </si>
  <si>
    <t xml:space="preserve">Risks and open questions</t>
  </si>
  <si>
    <t xml:space="preserve">Items that change a planning number when resolved. Re-verify before any bid.</t>
  </si>
  <si>
    <t xml:space="preserve">#</t>
  </si>
  <si>
    <t xml:space="preserve">Open item</t>
  </si>
  <si>
    <t xml:space="preserve">Why it matters</t>
  </si>
  <si>
    <t xml:space="preserve">Resolve by</t>
  </si>
  <si>
    <t xml:space="preserve">NVLink island layout for 10 GPUs (two 4-way + one 2-way?)</t>
  </si>
  <si>
    <t xml:space="preserve">TP placement</t>
  </si>
  <si>
    <t xml:space="preserve">HPE QuickSpecs GPU section</t>
  </si>
  <si>
    <t xml:space="preserve">Per-DIMM, per-drive, per-NIC and fan power are planning assumptions [U]</t>
  </si>
  <si>
    <t xml:space="preserve">Non-GPU load is 15-30% of node power</t>
  </si>
  <si>
    <t xml:space="preserve">OEM power calculators: HPE Power Advisor, Dell EIPT, Lenovo Capacity Planner, Supermicro/MSI sales tools</t>
  </si>
  <si>
    <t xml:space="preserve">Workbook CPU SKUs 6960P / 6962P (rows 73, 75, 79, 81) are LGA-7529</t>
  </si>
  <si>
    <t xml:space="preserve">Not installable in LGA-4710 GPU chassis - only 6900P platforms (SYS-522GA-NRT, XE9780LAP)</t>
  </si>
  <si>
    <t xml:space="preserve">Adopt socket as first filter in capacity planner</t>
  </si>
  <si>
    <t xml:space="preserve">Sources</t>
  </si>
  <si>
    <t xml:space="preserve">Every [I]/[3P] row in this workbook cites one of these IDs. Internal companion files are marked Internal.</t>
  </si>
  <si>
    <t xml:space="preserve">ID</t>
  </si>
  <si>
    <t xml:space="preserve">Location</t>
  </si>
  <si>
    <t xml:space="preserve">Class</t>
  </si>
  <si>
    <t xml:space="preserve">HPE - ProLiant Compute DL380a Gen12 QuickSpecs (a00047453enw)</t>
  </si>
  <si>
    <t xml:space="preserve">https://www.hpe.com/psnow/doc/a00047453enw</t>
  </si>
  <si>
    <t xml:space="preserve">HPE - ProLiant Compute DL380a Gen12 product page</t>
  </si>
  <si>
    <t xml:space="preserve">https://www.hpe.com/us/en/compute/hpe-proliant-compute/dl380a-gen12.html</t>
  </si>
  <si>
    <t xml:space="preserve">StorageReview - HPE DL380a Gen12 review (24 Nov 2025)</t>
  </si>
  <si>
    <t xml:space="preserve">https://www.storagereview.com/review/hpe-proliant-dl380a-gen12-review-air-cooled-4u-server-for-dense-multi-gpu-ai</t>
  </si>
  <si>
    <t xml:space="preserve">Express Computer Systems - DL380a Gen12 configurable part list</t>
  </si>
  <si>
    <t xml:space="preserve">https://expresscomputersystems.com/products/hpe-proliant-dl380a-rack-server-gen-12-configurable</t>
  </si>
  <si>
    <t xml:space="preserve">Internal - Intel_Xeon6_Workload_SKU_Recommendations.xlsx, sheet 'SKU Recommendations' rows 71-86</t>
  </si>
  <si>
    <t xml:space="preserve">Intel_Xeon6_Workload_SKU_Recommendations.xlsx</t>
  </si>
  <si>
    <t xml:space="preserve">Capacity-planner parameters (YAML)</t>
  </si>
  <si>
    <t xml:space="preserve">Machine-readable block for Agentic Systems Capacity Planner ingestion. One line per row; copy column A verbatim.</t>
  </si>
  <si>
    <t xml:space="preserve">system_option:</t>
  </si>
  <si>
    <t xml:space="preserve">  file: HPE_H200-NVL.xlsx</t>
  </si>
  <si>
    <t xml:space="preserve">  oem: HPE</t>
  </si>
  <si>
    <t xml:space="preserve">  gpu: H200-NVL</t>
  </si>
  <si>
    <t xml:space="preserve">  tier: "Mid-range (HBM/NVLink)"</t>
  </si>
  <si>
    <t xml:space="preserve">  chassis:</t>
  </si>
  <si>
    <t xml:space="preserve">    - model: "DL380a Gen12"</t>
  </si>
  <si>
    <t xml:space="preserve">      rack_units: 4</t>
  </si>
  <si>
    <t xml:space="preserve">      cpu_socket: "LGA-4710"</t>
  </si>
  <si>
    <t xml:space="preserve">  power_scenarios:   # inputs only; outputs live in 4_Power_Budget</t>
  </si>
  <si>
    <t xml:space="preserve">    - name: "4× H200 NVL (one 4-way NVLink island) · 5× 3200 W"</t>
  </si>
  <si>
    <t xml:space="preserve">      system: "DL380a Gen12"</t>
  </si>
  <si>
    <t xml:space="preserve">      gpus: 4</t>
  </si>
  <si>
    <t xml:space="preserve">      gpu_w: 600</t>
  </si>
  <si>
    <t xml:space="preserve">      cpu: {count: 2, tdp_w: 350}</t>
  </si>
  <si>
    <t xml:space="preserve">      psu: {rating_w: 3200, installed: 5, redundant: 1}</t>
  </si>
  <si>
    <t xml:space="preserve">      assumptions_u: {dimm_w: 10, drive_w: 25, nic_w: 25, baseboard_w: 150, fan_pct: 0.08, psu_eff: 0.95}</t>
  </si>
  <si>
    <t xml:space="preserve">    - name: "8× H200 NVL (two 4-way islands) · 8× 3200 W"</t>
  </si>
  <si>
    <t xml:space="preserve">      gpus: 8</t>
  </si>
  <si>
    <t xml:space="preserve">      psu: {rating_w: 3200, installed: 8, redundant: 1}</t>
  </si>
  <si>
    <t xml:space="preserve">      assumptions_u: {dimm_w: 10, drive_w: 25, nic_w: 25, baseboard_w: 250, fan_pct: 0.08, psu_eff: 0.95}</t>
  </si>
  <si>
    <t xml:space="preserve">    - name: "10× H200 NVL (max) · 8× 3200 W"</t>
  </si>
  <si>
    <t xml:space="preserve">      gpus: 10</t>
  </si>
  <si>
    <t xml:space="preserve">  compiled: "25 September 2026"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</si>
</sst>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0"/>
    <numFmt numFmtId="168" formatCode="0.0%"/>
    <numFmt numFmtId="169" formatCode="@"/>
    <numFmt numFmtId="170" formatCode="0"/>
    <numFmt numFmtId="171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B8562F"/>
      <name val="Cambria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B8562F"/>
      <name val="Calibri"/>
      <family val="0"/>
      <charset val="1"/>
    </font>
    <font>
      <b val="true"/>
      <sz val="11"/>
      <color rgb="FFB8562F"/>
      <name val="Cambria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404040"/>
      <name val="Calibri"/>
      <family val="0"/>
      <charset val="1"/>
    </font>
    <font>
      <sz val="9"/>
      <color rgb="FF1F3864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8562F"/>
        <bgColor rgb="FF99336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F4E4DC"/>
        <bgColor rgb="FFFCE4D6"/>
      </patternFill>
    </fill>
    <fill>
      <patternFill patternType="solid">
        <fgColor rgb="FFFCE4D6"/>
        <bgColor rgb="FFF4E4DC"/>
      </patternFill>
    </fill>
    <fill>
      <patternFill patternType="solid">
        <fgColor rgb="FFF8CBAD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4E4D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B8562F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10"/>
    <col collapsed="false" customWidth="true" hidden="false" outlineLevel="0" max="4" min="4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4" t="s">
        <v>7</v>
      </c>
      <c r="C5" s="5" t="s">
        <v>8</v>
      </c>
      <c r="D5" s="4"/>
    </row>
    <row r="6" customFormat="false" ht="15" hidden="false" customHeight="false" outlineLevel="0" collapsed="false">
      <c r="A6" s="4" t="s">
        <v>9</v>
      </c>
      <c r="B6" s="4" t="s">
        <v>10</v>
      </c>
      <c r="C6" s="6" t="s">
        <v>11</v>
      </c>
      <c r="D6" s="4"/>
    </row>
    <row r="7" customFormat="false" ht="15" hidden="false" customHeight="false" outlineLevel="0" collapsed="false">
      <c r="A7" s="4" t="s">
        <v>12</v>
      </c>
      <c r="B7" s="4" t="s">
        <v>13</v>
      </c>
      <c r="C7" s="5" t="s">
        <v>8</v>
      </c>
      <c r="D7" s="4"/>
    </row>
    <row r="8" customFormat="false" ht="15" hidden="false" customHeight="false" outlineLevel="0" collapsed="false">
      <c r="A8" s="4" t="s">
        <v>14</v>
      </c>
      <c r="B8" s="4" t="s">
        <v>15</v>
      </c>
      <c r="C8" s="6" t="s">
        <v>11</v>
      </c>
      <c r="D8" s="4"/>
    </row>
    <row r="9" customFormat="false" ht="15" hidden="false" customHeight="false" outlineLevel="0" collapsed="false">
      <c r="A9" s="4" t="s">
        <v>16</v>
      </c>
      <c r="B9" s="4" t="s">
        <v>17</v>
      </c>
      <c r="C9" s="6" t="s">
        <v>11</v>
      </c>
      <c r="D9" s="4"/>
    </row>
    <row r="10" customFormat="false" ht="15" hidden="false" customHeight="false" outlineLevel="0" collapsed="false">
      <c r="A10" s="4" t="s">
        <v>18</v>
      </c>
      <c r="B10" s="4" t="s">
        <v>19</v>
      </c>
      <c r="C10" s="5" t="s">
        <v>8</v>
      </c>
      <c r="D10" s="4" t="s">
        <v>20</v>
      </c>
    </row>
    <row r="11" customFormat="false" ht="15" hidden="false" customHeight="false" outlineLevel="0" collapsed="false">
      <c r="A11" s="4" t="s">
        <v>21</v>
      </c>
      <c r="B11" s="4" t="s">
        <v>22</v>
      </c>
      <c r="C11" s="6" t="s">
        <v>11</v>
      </c>
      <c r="D11" s="4"/>
    </row>
    <row r="13" customFormat="false" ht="15" hidden="false" customHeight="false" outlineLevel="0" collapsed="false">
      <c r="A13" s="7" t="s">
        <v>23</v>
      </c>
    </row>
    <row r="14" customFormat="false" ht="30" hidden="false" customHeight="true" outlineLevel="0" collapsed="false">
      <c r="A14" s="8" t="s">
        <v>24</v>
      </c>
      <c r="B14" s="8"/>
      <c r="C14" s="8"/>
      <c r="D14" s="8"/>
    </row>
    <row r="16" customFormat="false" ht="15" hidden="false" customHeight="false" outlineLevel="0" collapsed="false">
      <c r="A16" s="9" t="s">
        <v>25</v>
      </c>
      <c r="B16" s="10"/>
      <c r="C16" s="10"/>
      <c r="D16" s="10"/>
    </row>
    <row r="17" customFormat="false" ht="35.05" hidden="false" customHeight="false" outlineLevel="0" collapsed="false">
      <c r="A17" s="3" t="s">
        <v>26</v>
      </c>
      <c r="B17" s="3" t="s">
        <v>27</v>
      </c>
      <c r="C17" s="3" t="s">
        <v>28</v>
      </c>
      <c r="D17" s="3" t="s">
        <v>29</v>
      </c>
    </row>
    <row r="18" customFormat="false" ht="23.85" hidden="false" customHeight="false" outlineLevel="0" collapsed="false">
      <c r="A18" s="4" t="s">
        <v>30</v>
      </c>
      <c r="B18" s="11" t="n">
        <f aca="false">4_Power_Budget!C39</f>
        <v>3862.08</v>
      </c>
      <c r="C18" s="11" t="n">
        <f aca="false">4_Power_Budget!C42</f>
        <v>12800</v>
      </c>
      <c r="D18" s="4" t="str">
        <f aca="false">4_Power_Budget!C45</f>
        <v>OK within redundant capacity</v>
      </c>
    </row>
    <row r="19" customFormat="false" ht="23.85" hidden="false" customHeight="false" outlineLevel="0" collapsed="false">
      <c r="A19" s="4" t="s">
        <v>31</v>
      </c>
      <c r="B19" s="11" t="n">
        <f aca="false">4_Power_Budget!D39</f>
        <v>6896.88</v>
      </c>
      <c r="C19" s="11" t="n">
        <f aca="false">4_Power_Budget!D42</f>
        <v>22400</v>
      </c>
      <c r="D19" s="4" t="str">
        <f aca="false">4_Power_Budget!D45</f>
        <v>OK within redundant capacity</v>
      </c>
    </row>
    <row r="20" customFormat="false" ht="23.85" hidden="false" customHeight="false" outlineLevel="0" collapsed="false">
      <c r="A20" s="4" t="s">
        <v>32</v>
      </c>
      <c r="B20" s="11" t="n">
        <f aca="false">4_Power_Budget!E39</f>
        <v>8138.88</v>
      </c>
      <c r="C20" s="11" t="n">
        <f aca="false">4_Power_Budget!E42</f>
        <v>22400</v>
      </c>
      <c r="D20" s="4" t="str">
        <f aca="false">4_Power_Budget!E45</f>
        <v>OK within redundant capacity</v>
      </c>
    </row>
    <row r="22" customFormat="false" ht="15" hidden="false" customHeight="false" outlineLevel="0" collapsed="false">
      <c r="A22" s="9" t="s">
        <v>33</v>
      </c>
      <c r="B22" s="10"/>
      <c r="C22" s="10"/>
      <c r="D22" s="10"/>
    </row>
    <row r="23" customFormat="false" ht="15" hidden="false" customHeight="false" outlineLevel="0" collapsed="false">
      <c r="A23" s="3" t="s">
        <v>4</v>
      </c>
      <c r="B23" s="3" t="s">
        <v>34</v>
      </c>
      <c r="C23" s="3" t="s">
        <v>35</v>
      </c>
      <c r="D23" s="3" t="s">
        <v>36</v>
      </c>
    </row>
    <row r="24" customFormat="false" ht="23.85" hidden="false" customHeight="false" outlineLevel="0" collapsed="false">
      <c r="A24" s="5" t="s">
        <v>8</v>
      </c>
      <c r="B24" s="4" t="s">
        <v>37</v>
      </c>
      <c r="C24" s="4" t="s">
        <v>38</v>
      </c>
      <c r="D24" s="4" t="s">
        <v>39</v>
      </c>
    </row>
    <row r="25" customFormat="false" ht="23.85" hidden="false" customHeight="false" outlineLevel="0" collapsed="false">
      <c r="A25" s="6" t="s">
        <v>11</v>
      </c>
      <c r="B25" s="4" t="s">
        <v>40</v>
      </c>
      <c r="C25" s="4" t="s">
        <v>41</v>
      </c>
      <c r="D25" s="4" t="s">
        <v>42</v>
      </c>
    </row>
    <row r="26" customFormat="false" ht="23.85" hidden="false" customHeight="false" outlineLevel="0" collapsed="false">
      <c r="A26" s="12" t="s">
        <v>43</v>
      </c>
      <c r="B26" s="4" t="s">
        <v>44</v>
      </c>
      <c r="C26" s="4" t="s">
        <v>45</v>
      </c>
      <c r="D26" s="4" t="s">
        <v>46</v>
      </c>
    </row>
    <row r="27" customFormat="false" ht="23.85" hidden="false" customHeight="false" outlineLevel="0" collapsed="false">
      <c r="A27" s="13" t="s">
        <v>47</v>
      </c>
      <c r="B27" s="4" t="s">
        <v>48</v>
      </c>
      <c r="C27" s="4" t="s">
        <v>49</v>
      </c>
      <c r="D27" s="4" t="s">
        <v>50</v>
      </c>
    </row>
    <row r="28" customFormat="false" ht="15" hidden="false" customHeight="false" outlineLevel="0" collapsed="false">
      <c r="A28" s="14" t="s">
        <v>51</v>
      </c>
      <c r="B28" s="4" t="s">
        <v>52</v>
      </c>
      <c r="C28" s="4" t="s">
        <v>53</v>
      </c>
      <c r="D28" s="4" t="s">
        <v>53</v>
      </c>
    </row>
  </sheetData>
  <mergeCells count="1">
    <mergeCell ref="A14:D14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80"/>
    <col collapsed="false" customWidth="true" hidden="false" outlineLevel="0" max="5" min="5" style="0" width="7"/>
    <col collapsed="false" customWidth="true" hidden="false" outlineLevel="0" max="6" min="6" style="0" width="10"/>
  </cols>
  <sheetData>
    <row r="1" customFormat="false" ht="19.7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4" customFormat="false" ht="15" hidden="false" customHeight="false" outlineLevel="0" collapsed="false">
      <c r="A4" s="9" t="s">
        <v>56</v>
      </c>
      <c r="B4" s="10"/>
      <c r="C4" s="10"/>
      <c r="D4" s="10"/>
      <c r="E4" s="10"/>
      <c r="F4" s="10"/>
    </row>
    <row r="5" customFormat="false" ht="1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3</v>
      </c>
      <c r="E5" s="3" t="s">
        <v>4</v>
      </c>
      <c r="F5" s="3" t="s">
        <v>60</v>
      </c>
    </row>
    <row r="6" customFormat="false" ht="15" hidden="false" customHeight="false" outlineLevel="0" collapsed="false">
      <c r="A6" s="4" t="s">
        <v>13</v>
      </c>
      <c r="B6" s="4" t="s">
        <v>61</v>
      </c>
      <c r="C6" s="4" t="s">
        <v>62</v>
      </c>
      <c r="D6" s="4" t="s">
        <v>63</v>
      </c>
      <c r="E6" s="5" t="s">
        <v>8</v>
      </c>
      <c r="F6" s="4" t="s">
        <v>64</v>
      </c>
    </row>
    <row r="7" customFormat="false" ht="15" hidden="false" customHeight="false" outlineLevel="0" collapsed="false">
      <c r="A7" s="4" t="s">
        <v>13</v>
      </c>
      <c r="B7" s="4" t="s">
        <v>61</v>
      </c>
      <c r="C7" s="4" t="s">
        <v>65</v>
      </c>
      <c r="D7" s="4" t="s">
        <v>66</v>
      </c>
      <c r="E7" s="5" t="s">
        <v>8</v>
      </c>
      <c r="F7" s="4" t="s">
        <v>67</v>
      </c>
    </row>
    <row r="8" customFormat="false" ht="15" hidden="false" customHeight="false" outlineLevel="0" collapsed="false">
      <c r="A8" s="4" t="s">
        <v>13</v>
      </c>
      <c r="B8" s="4" t="s">
        <v>61</v>
      </c>
      <c r="C8" s="4" t="s">
        <v>68</v>
      </c>
      <c r="D8" s="4" t="s">
        <v>69</v>
      </c>
      <c r="E8" s="5" t="s">
        <v>8</v>
      </c>
      <c r="F8" s="4" t="s">
        <v>64</v>
      </c>
    </row>
    <row r="9" customFormat="false" ht="15" hidden="false" customHeight="false" outlineLevel="0" collapsed="false">
      <c r="A9" s="4" t="s">
        <v>13</v>
      </c>
      <c r="B9" s="4" t="s">
        <v>70</v>
      </c>
      <c r="C9" s="4" t="s">
        <v>71</v>
      </c>
      <c r="D9" s="4" t="s">
        <v>72</v>
      </c>
      <c r="E9" s="5" t="s">
        <v>8</v>
      </c>
      <c r="F9" s="4" t="s">
        <v>64</v>
      </c>
    </row>
    <row r="10" customFormat="false" ht="15" hidden="false" customHeight="false" outlineLevel="0" collapsed="false">
      <c r="A10" s="4" t="s">
        <v>13</v>
      </c>
      <c r="B10" s="4" t="s">
        <v>70</v>
      </c>
      <c r="C10" s="4" t="s">
        <v>73</v>
      </c>
      <c r="D10" s="4" t="s">
        <v>74</v>
      </c>
      <c r="E10" s="6" t="s">
        <v>11</v>
      </c>
      <c r="F10" s="4"/>
    </row>
    <row r="11" customFormat="false" ht="15" hidden="false" customHeight="false" outlineLevel="0" collapsed="false">
      <c r="A11" s="4" t="s">
        <v>13</v>
      </c>
      <c r="B11" s="4" t="s">
        <v>75</v>
      </c>
      <c r="C11" s="4" t="s">
        <v>76</v>
      </c>
      <c r="D11" s="4" t="s">
        <v>77</v>
      </c>
      <c r="E11" s="5" t="s">
        <v>8</v>
      </c>
      <c r="F11" s="4" t="s">
        <v>78</v>
      </c>
    </row>
    <row r="12" customFormat="false" ht="15" hidden="false" customHeight="false" outlineLevel="0" collapsed="false">
      <c r="A12" s="4" t="s">
        <v>13</v>
      </c>
      <c r="B12" s="4" t="s">
        <v>75</v>
      </c>
      <c r="C12" s="4" t="s">
        <v>79</v>
      </c>
      <c r="D12" s="4" t="s">
        <v>80</v>
      </c>
      <c r="E12" s="5" t="s">
        <v>8</v>
      </c>
      <c r="F12" s="4" t="s">
        <v>67</v>
      </c>
    </row>
    <row r="13" customFormat="false" ht="23.85" hidden="false" customHeight="false" outlineLevel="0" collapsed="false">
      <c r="A13" s="4" t="s">
        <v>13</v>
      </c>
      <c r="B13" s="4" t="s">
        <v>6</v>
      </c>
      <c r="C13" s="4" t="s">
        <v>81</v>
      </c>
      <c r="D13" s="4" t="s">
        <v>82</v>
      </c>
      <c r="E13" s="5" t="s">
        <v>8</v>
      </c>
      <c r="F13" s="4" t="s">
        <v>64</v>
      </c>
    </row>
    <row r="14" customFormat="false" ht="15" hidden="false" customHeight="false" outlineLevel="0" collapsed="false">
      <c r="A14" s="4" t="s">
        <v>13</v>
      </c>
      <c r="B14" s="4" t="s">
        <v>6</v>
      </c>
      <c r="C14" s="4" t="s">
        <v>83</v>
      </c>
      <c r="D14" s="4" t="s">
        <v>84</v>
      </c>
      <c r="E14" s="12" t="s">
        <v>43</v>
      </c>
      <c r="F14" s="4" t="s">
        <v>85</v>
      </c>
    </row>
    <row r="15" customFormat="false" ht="23.85" hidden="false" customHeight="false" outlineLevel="0" collapsed="false">
      <c r="A15" s="4" t="s">
        <v>13</v>
      </c>
      <c r="B15" s="4" t="s">
        <v>6</v>
      </c>
      <c r="C15" s="4" t="s">
        <v>86</v>
      </c>
      <c r="D15" s="4" t="s">
        <v>87</v>
      </c>
      <c r="E15" s="5" t="s">
        <v>8</v>
      </c>
      <c r="F15" s="4" t="s">
        <v>67</v>
      </c>
    </row>
    <row r="16" customFormat="false" ht="15" hidden="false" customHeight="false" outlineLevel="0" collapsed="false">
      <c r="A16" s="4" t="s">
        <v>13</v>
      </c>
      <c r="B16" s="4" t="s">
        <v>88</v>
      </c>
      <c r="C16" s="4" t="s">
        <v>89</v>
      </c>
      <c r="D16" s="4" t="s">
        <v>90</v>
      </c>
      <c r="E16" s="5" t="s">
        <v>8</v>
      </c>
      <c r="F16" s="4" t="s">
        <v>78</v>
      </c>
    </row>
    <row r="17" customFormat="false" ht="15" hidden="false" customHeight="false" outlineLevel="0" collapsed="false">
      <c r="A17" s="4" t="s">
        <v>13</v>
      </c>
      <c r="B17" s="4" t="s">
        <v>91</v>
      </c>
      <c r="C17" s="4" t="s">
        <v>92</v>
      </c>
      <c r="D17" s="4" t="s">
        <v>93</v>
      </c>
      <c r="E17" s="5" t="s">
        <v>8</v>
      </c>
      <c r="F17" s="4" t="s">
        <v>67</v>
      </c>
    </row>
    <row r="18" customFormat="false" ht="15" hidden="false" customHeight="false" outlineLevel="0" collapsed="false">
      <c r="A18" s="4" t="s">
        <v>13</v>
      </c>
      <c r="B18" s="4" t="s">
        <v>94</v>
      </c>
      <c r="C18" s="4" t="s">
        <v>95</v>
      </c>
      <c r="D18" s="4" t="s">
        <v>96</v>
      </c>
      <c r="E18" s="5" t="s">
        <v>8</v>
      </c>
      <c r="F18" s="4" t="s">
        <v>78</v>
      </c>
    </row>
    <row r="19" customFormat="false" ht="15" hidden="false" customHeight="false" outlineLevel="0" collapsed="false">
      <c r="A19" s="4" t="s">
        <v>13</v>
      </c>
      <c r="B19" s="4" t="s">
        <v>94</v>
      </c>
      <c r="C19" s="4" t="s">
        <v>97</v>
      </c>
      <c r="D19" s="4" t="s">
        <v>98</v>
      </c>
      <c r="E19" s="5" t="s">
        <v>8</v>
      </c>
      <c r="F19" s="4" t="s">
        <v>99</v>
      </c>
    </row>
    <row r="20" customFormat="false" ht="15" hidden="false" customHeight="false" outlineLevel="0" collapsed="false">
      <c r="A20" s="4" t="s">
        <v>13</v>
      </c>
      <c r="B20" s="4" t="s">
        <v>94</v>
      </c>
      <c r="C20" s="4" t="s">
        <v>100</v>
      </c>
      <c r="D20" s="4" t="s">
        <v>101</v>
      </c>
      <c r="E20" s="5" t="s">
        <v>8</v>
      </c>
      <c r="F20" s="4" t="s">
        <v>64</v>
      </c>
    </row>
    <row r="21" customFormat="false" ht="15" hidden="false" customHeight="false" outlineLevel="0" collapsed="false">
      <c r="A21" s="4" t="s">
        <v>13</v>
      </c>
      <c r="B21" s="4" t="s">
        <v>94</v>
      </c>
      <c r="C21" s="4" t="s">
        <v>102</v>
      </c>
      <c r="D21" s="4" t="s">
        <v>103</v>
      </c>
      <c r="E21" s="5" t="s">
        <v>8</v>
      </c>
      <c r="F21" s="4" t="s">
        <v>78</v>
      </c>
    </row>
    <row r="22" customFormat="false" ht="15" hidden="false" customHeight="false" outlineLevel="0" collapsed="false">
      <c r="A22" s="4" t="s">
        <v>13</v>
      </c>
      <c r="B22" s="4" t="s">
        <v>94</v>
      </c>
      <c r="C22" s="4" t="s">
        <v>104</v>
      </c>
      <c r="D22" s="4" t="s">
        <v>105</v>
      </c>
      <c r="E22" s="5" t="s">
        <v>8</v>
      </c>
      <c r="F22" s="4" t="s">
        <v>78</v>
      </c>
    </row>
    <row r="23" customFormat="false" ht="15" hidden="false" customHeight="false" outlineLevel="0" collapsed="false">
      <c r="A23" s="4" t="s">
        <v>13</v>
      </c>
      <c r="B23" s="4" t="s">
        <v>106</v>
      </c>
      <c r="C23" s="4" t="s">
        <v>107</v>
      </c>
      <c r="D23" s="4" t="s">
        <v>108</v>
      </c>
      <c r="E23" s="5" t="s">
        <v>8</v>
      </c>
      <c r="F23" s="4" t="s">
        <v>64</v>
      </c>
    </row>
    <row r="24" customFormat="false" ht="15" hidden="false" customHeight="false" outlineLevel="0" collapsed="false">
      <c r="A24" s="4" t="s">
        <v>13</v>
      </c>
      <c r="B24" s="4" t="s">
        <v>106</v>
      </c>
      <c r="C24" s="4" t="s">
        <v>109</v>
      </c>
      <c r="D24" s="4" t="s">
        <v>110</v>
      </c>
      <c r="E24" s="12" t="s">
        <v>43</v>
      </c>
      <c r="F24" s="4" t="s">
        <v>85</v>
      </c>
    </row>
    <row r="25" customFormat="false" ht="23.85" hidden="false" customHeight="false" outlineLevel="0" collapsed="false">
      <c r="A25" s="4" t="s">
        <v>13</v>
      </c>
      <c r="B25" s="4" t="s">
        <v>111</v>
      </c>
      <c r="C25" s="4" t="s">
        <v>112</v>
      </c>
      <c r="D25" s="4" t="s">
        <v>113</v>
      </c>
      <c r="E25" s="5" t="s">
        <v>8</v>
      </c>
      <c r="F25" s="4" t="s">
        <v>78</v>
      </c>
    </row>
    <row r="26" customFormat="false" ht="15" hidden="false" customHeight="false" outlineLevel="0" collapsed="false">
      <c r="A26" s="4" t="s">
        <v>13</v>
      </c>
      <c r="B26" s="4" t="s">
        <v>114</v>
      </c>
      <c r="C26" s="4" t="s">
        <v>115</v>
      </c>
      <c r="D26" s="4" t="s">
        <v>116</v>
      </c>
      <c r="E26" s="5" t="s">
        <v>8</v>
      </c>
      <c r="F26" s="4" t="s">
        <v>99</v>
      </c>
    </row>
    <row r="27" customFormat="false" ht="15" hidden="false" customHeight="false" outlineLevel="0" collapsed="false">
      <c r="A27" s="4" t="s">
        <v>13</v>
      </c>
      <c r="B27" s="4" t="s">
        <v>117</v>
      </c>
      <c r="C27" s="4" t="s">
        <v>118</v>
      </c>
      <c r="D27" s="4" t="s">
        <v>119</v>
      </c>
      <c r="E27" s="13" t="s">
        <v>47</v>
      </c>
      <c r="F27" s="4"/>
    </row>
    <row r="28" customFormat="false" ht="15" hidden="false" customHeight="false" outlineLevel="0" collapsed="false">
      <c r="A28" s="4" t="s">
        <v>13</v>
      </c>
      <c r="B28" s="4" t="s">
        <v>120</v>
      </c>
      <c r="C28" s="4" t="s">
        <v>121</v>
      </c>
      <c r="D28" s="4" t="s">
        <v>122</v>
      </c>
      <c r="E28" s="6" t="s">
        <v>11</v>
      </c>
      <c r="F28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8"/>
    <col collapsed="false" customWidth="true" hidden="false" outlineLevel="0" max="6" min="6" style="0" width="30"/>
    <col collapsed="false" customWidth="true" hidden="false" outlineLevel="0" max="7" min="7" style="0" width="7"/>
    <col collapsed="false" customWidth="true" hidden="false" outlineLevel="0" max="8" min="8" style="0" width="9"/>
    <col collapsed="false" customWidth="true" hidden="false" outlineLevel="0" max="9" min="9" style="0" width="22"/>
  </cols>
  <sheetData>
    <row r="1" customFormat="false" ht="19.7" hidden="false" customHeight="false" outlineLevel="0" collapsed="false">
      <c r="A1" s="1" t="s">
        <v>123</v>
      </c>
    </row>
    <row r="2" customFormat="false" ht="15" hidden="false" customHeight="false" outlineLevel="0" collapsed="false">
      <c r="A2" s="2" t="s">
        <v>124</v>
      </c>
    </row>
    <row r="4" customFormat="false" ht="15" hidden="false" customHeight="false" outlineLevel="0" collapsed="false">
      <c r="A4" s="3" t="s">
        <v>57</v>
      </c>
      <c r="B4" s="3" t="s">
        <v>125</v>
      </c>
      <c r="C4" s="3" t="s">
        <v>126</v>
      </c>
      <c r="D4" s="3" t="s">
        <v>127</v>
      </c>
      <c r="E4" s="3" t="s">
        <v>128</v>
      </c>
      <c r="F4" s="3" t="s">
        <v>129</v>
      </c>
      <c r="G4" s="3" t="s">
        <v>4</v>
      </c>
      <c r="H4" s="3" t="s">
        <v>60</v>
      </c>
      <c r="I4" s="3" t="s">
        <v>130</v>
      </c>
    </row>
    <row r="5" customFormat="false" ht="23.85" hidden="false" customHeight="false" outlineLevel="0" collapsed="false">
      <c r="A5" s="4" t="s">
        <v>13</v>
      </c>
      <c r="B5" s="4" t="s">
        <v>70</v>
      </c>
      <c r="C5" s="4" t="s">
        <v>131</v>
      </c>
      <c r="D5" s="4" t="s">
        <v>132</v>
      </c>
      <c r="E5" s="4" t="n">
        <v>2</v>
      </c>
      <c r="F5" s="4" t="s">
        <v>133</v>
      </c>
      <c r="G5" s="5" t="s">
        <v>8</v>
      </c>
      <c r="H5" s="4" t="s">
        <v>64</v>
      </c>
      <c r="I5" s="4" t="s">
        <v>134</v>
      </c>
    </row>
    <row r="6" customFormat="false" ht="15" hidden="false" customHeight="false" outlineLevel="0" collapsed="false">
      <c r="A6" s="4" t="s">
        <v>13</v>
      </c>
      <c r="B6" s="4" t="s">
        <v>75</v>
      </c>
      <c r="C6" s="4" t="s">
        <v>135</v>
      </c>
      <c r="D6" s="4" t="s">
        <v>132</v>
      </c>
      <c r="E6" s="4" t="n">
        <v>32</v>
      </c>
      <c r="F6" s="4" t="s">
        <v>136</v>
      </c>
      <c r="G6" s="5" t="s">
        <v>8</v>
      </c>
      <c r="H6" s="4" t="s">
        <v>78</v>
      </c>
      <c r="I6" s="4"/>
    </row>
    <row r="7" customFormat="false" ht="15" hidden="false" customHeight="false" outlineLevel="0" collapsed="false">
      <c r="A7" s="4" t="s">
        <v>13</v>
      </c>
      <c r="B7" s="4" t="s">
        <v>6</v>
      </c>
      <c r="C7" s="4" t="s">
        <v>137</v>
      </c>
      <c r="D7" s="4" t="s">
        <v>138</v>
      </c>
      <c r="E7" s="4" t="n">
        <v>8</v>
      </c>
      <c r="F7" s="4" t="s">
        <v>139</v>
      </c>
      <c r="G7" s="12" t="s">
        <v>43</v>
      </c>
      <c r="H7" s="4" t="s">
        <v>85</v>
      </c>
      <c r="I7" s="4"/>
    </row>
    <row r="8" customFormat="false" ht="15" hidden="false" customHeight="false" outlineLevel="0" collapsed="false">
      <c r="A8" s="4" t="s">
        <v>13</v>
      </c>
      <c r="B8" s="4" t="s">
        <v>6</v>
      </c>
      <c r="C8" s="4" t="s">
        <v>140</v>
      </c>
      <c r="D8" s="4" t="s">
        <v>141</v>
      </c>
      <c r="E8" s="4" t="n">
        <v>8</v>
      </c>
      <c r="F8" s="4" t="s">
        <v>142</v>
      </c>
      <c r="G8" s="12" t="s">
        <v>43</v>
      </c>
      <c r="H8" s="4" t="s">
        <v>85</v>
      </c>
      <c r="I8" s="4"/>
    </row>
    <row r="9" customFormat="false" ht="15" hidden="false" customHeight="false" outlineLevel="0" collapsed="false">
      <c r="A9" s="4" t="s">
        <v>13</v>
      </c>
      <c r="B9" s="4" t="s">
        <v>6</v>
      </c>
      <c r="C9" s="4" t="s">
        <v>143</v>
      </c>
      <c r="D9" s="4" t="s">
        <v>144</v>
      </c>
      <c r="E9" s="4" t="n">
        <v>10</v>
      </c>
      <c r="F9" s="4" t="s">
        <v>139</v>
      </c>
      <c r="G9" s="12" t="s">
        <v>43</v>
      </c>
      <c r="H9" s="4" t="s">
        <v>85</v>
      </c>
      <c r="I9" s="4"/>
    </row>
    <row r="10" customFormat="false" ht="15" hidden="false" customHeight="false" outlineLevel="0" collapsed="false">
      <c r="A10" s="4" t="s">
        <v>13</v>
      </c>
      <c r="B10" s="4" t="s">
        <v>6</v>
      </c>
      <c r="C10" s="4" t="s">
        <v>145</v>
      </c>
      <c r="D10" s="4" t="s">
        <v>146</v>
      </c>
      <c r="E10" s="4" t="s">
        <v>53</v>
      </c>
      <c r="F10" s="4"/>
      <c r="G10" s="12" t="s">
        <v>43</v>
      </c>
      <c r="H10" s="4" t="s">
        <v>85</v>
      </c>
      <c r="I10" s="4"/>
    </row>
    <row r="11" customFormat="false" ht="15" hidden="false" customHeight="false" outlineLevel="0" collapsed="false">
      <c r="A11" s="4" t="s">
        <v>13</v>
      </c>
      <c r="B11" s="4" t="s">
        <v>6</v>
      </c>
      <c r="C11" s="4" t="s">
        <v>147</v>
      </c>
      <c r="D11" s="4" t="s">
        <v>148</v>
      </c>
      <c r="E11" s="4" t="s">
        <v>53</v>
      </c>
      <c r="F11" s="4" t="s">
        <v>149</v>
      </c>
      <c r="G11" s="12" t="s">
        <v>43</v>
      </c>
      <c r="H11" s="4" t="s">
        <v>85</v>
      </c>
      <c r="I11" s="4"/>
    </row>
    <row r="12" customFormat="false" ht="15" hidden="false" customHeight="false" outlineLevel="0" collapsed="false">
      <c r="A12" s="4" t="s">
        <v>13</v>
      </c>
      <c r="B12" s="4" t="s">
        <v>6</v>
      </c>
      <c r="C12" s="4" t="s">
        <v>150</v>
      </c>
      <c r="D12" s="4" t="s">
        <v>151</v>
      </c>
      <c r="E12" s="4" t="n">
        <v>16</v>
      </c>
      <c r="F12" s="4" t="s">
        <v>152</v>
      </c>
      <c r="G12" s="12" t="s">
        <v>43</v>
      </c>
      <c r="H12" s="4" t="s">
        <v>85</v>
      </c>
      <c r="I12" s="4"/>
    </row>
    <row r="13" customFormat="false" ht="15" hidden="false" customHeight="false" outlineLevel="0" collapsed="false">
      <c r="A13" s="4" t="s">
        <v>13</v>
      </c>
      <c r="B13" s="4" t="s">
        <v>6</v>
      </c>
      <c r="C13" s="4" t="s">
        <v>153</v>
      </c>
      <c r="D13" s="4" t="s">
        <v>154</v>
      </c>
      <c r="E13" s="4" t="n">
        <v>10</v>
      </c>
      <c r="F13" s="4"/>
      <c r="G13" s="12" t="s">
        <v>43</v>
      </c>
      <c r="H13" s="4" t="s">
        <v>85</v>
      </c>
      <c r="I13" s="4"/>
    </row>
    <row r="14" customFormat="false" ht="15" hidden="false" customHeight="false" outlineLevel="0" collapsed="false">
      <c r="A14" s="4" t="s">
        <v>13</v>
      </c>
      <c r="B14" s="4" t="s">
        <v>6</v>
      </c>
      <c r="C14" s="4" t="s">
        <v>155</v>
      </c>
      <c r="D14" s="4" t="s">
        <v>156</v>
      </c>
      <c r="E14" s="4" t="s">
        <v>53</v>
      </c>
      <c r="F14" s="4"/>
      <c r="G14" s="12" t="s">
        <v>43</v>
      </c>
      <c r="H14" s="4" t="s">
        <v>85</v>
      </c>
      <c r="I14" s="4"/>
    </row>
    <row r="15" customFormat="false" ht="23.85" hidden="false" customHeight="false" outlineLevel="0" collapsed="false">
      <c r="A15" s="4" t="s">
        <v>13</v>
      </c>
      <c r="B15" s="4" t="s">
        <v>94</v>
      </c>
      <c r="C15" s="4" t="s">
        <v>157</v>
      </c>
      <c r="D15" s="4" t="s">
        <v>158</v>
      </c>
      <c r="E15" s="4" t="n">
        <v>8</v>
      </c>
      <c r="F15" s="4" t="s">
        <v>159</v>
      </c>
      <c r="G15" s="12" t="s">
        <v>43</v>
      </c>
      <c r="H15" s="4" t="s">
        <v>160</v>
      </c>
      <c r="I15" s="4"/>
    </row>
    <row r="16" customFormat="false" ht="23.85" hidden="false" customHeight="false" outlineLevel="0" collapsed="false">
      <c r="A16" s="4" t="s">
        <v>13</v>
      </c>
      <c r="B16" s="4" t="s">
        <v>94</v>
      </c>
      <c r="C16" s="4" t="s">
        <v>161</v>
      </c>
      <c r="D16" s="4" t="s">
        <v>162</v>
      </c>
      <c r="E16" s="4" t="n">
        <v>8</v>
      </c>
      <c r="F16" s="4" t="s">
        <v>163</v>
      </c>
      <c r="G16" s="12" t="s">
        <v>43</v>
      </c>
      <c r="H16" s="4" t="s">
        <v>160</v>
      </c>
      <c r="I16" s="4"/>
    </row>
    <row r="17" customFormat="false" ht="15" hidden="false" customHeight="false" outlineLevel="0" collapsed="false">
      <c r="A17" s="4" t="s">
        <v>13</v>
      </c>
      <c r="B17" s="4" t="s">
        <v>94</v>
      </c>
      <c r="C17" s="4" t="s">
        <v>164</v>
      </c>
      <c r="D17" s="4" t="s">
        <v>165</v>
      </c>
      <c r="E17" s="4" t="n">
        <v>8</v>
      </c>
      <c r="F17" s="4" t="s">
        <v>166</v>
      </c>
      <c r="G17" s="12" t="s">
        <v>43</v>
      </c>
      <c r="H17" s="4" t="s">
        <v>167</v>
      </c>
      <c r="I17" s="4"/>
    </row>
    <row r="18" customFormat="false" ht="15" hidden="false" customHeight="false" outlineLevel="0" collapsed="false">
      <c r="A18" s="4" t="s">
        <v>13</v>
      </c>
      <c r="B18" s="4" t="s">
        <v>94</v>
      </c>
      <c r="C18" s="4" t="s">
        <v>168</v>
      </c>
      <c r="D18" s="4" t="s">
        <v>169</v>
      </c>
      <c r="E18" s="4" t="n">
        <v>1</v>
      </c>
      <c r="F18" s="4" t="s">
        <v>170</v>
      </c>
      <c r="G18" s="5" t="s">
        <v>8</v>
      </c>
      <c r="H18" s="4" t="s">
        <v>78</v>
      </c>
      <c r="I18" s="4"/>
    </row>
    <row r="19" customFormat="false" ht="15" hidden="false" customHeight="false" outlineLevel="0" collapsed="false">
      <c r="A19" s="4" t="s">
        <v>13</v>
      </c>
      <c r="B19" s="4" t="s">
        <v>171</v>
      </c>
      <c r="C19" s="4" t="s">
        <v>172</v>
      </c>
      <c r="D19" s="4"/>
      <c r="E19" s="4" t="n">
        <v>1</v>
      </c>
      <c r="F19" s="4" t="s">
        <v>173</v>
      </c>
      <c r="G19" s="12" t="s">
        <v>43</v>
      </c>
      <c r="H19" s="4" t="s">
        <v>85</v>
      </c>
      <c r="I19" s="4"/>
    </row>
    <row r="20" customFormat="false" ht="15" hidden="false" customHeight="false" outlineLevel="0" collapsed="false">
      <c r="A20" s="4" t="s">
        <v>13</v>
      </c>
      <c r="B20" s="4" t="s">
        <v>114</v>
      </c>
      <c r="C20" s="4" t="s">
        <v>174</v>
      </c>
      <c r="D20" s="4" t="s">
        <v>175</v>
      </c>
      <c r="E20" s="4" t="n">
        <v>1</v>
      </c>
      <c r="F20" s="4"/>
      <c r="G20" s="5" t="s">
        <v>8</v>
      </c>
      <c r="H20" s="4" t="s">
        <v>78</v>
      </c>
      <c r="I20" s="4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  <col collapsed="false" customWidth="true" hidden="false" outlineLevel="0" max="3" min="3" style="0" width="8"/>
    <col collapsed="false" customWidth="true" hidden="false" outlineLevel="0" max="4" min="4" style="0" width="10"/>
  </cols>
  <sheetData>
    <row r="1" customFormat="false" ht="19.7" hidden="false" customHeight="false" outlineLevel="0" collapsed="false">
      <c r="A1" s="1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3" t="s">
        <v>57</v>
      </c>
      <c r="B4" s="3" t="s">
        <v>178</v>
      </c>
      <c r="C4" s="3" t="s">
        <v>4</v>
      </c>
      <c r="D4" s="3" t="s">
        <v>60</v>
      </c>
    </row>
    <row r="5" customFormat="false" ht="15" hidden="false" customHeight="false" outlineLevel="0" collapsed="false">
      <c r="A5" s="4" t="s">
        <v>13</v>
      </c>
      <c r="B5" s="4" t="s">
        <v>179</v>
      </c>
      <c r="C5" s="5" t="s">
        <v>8</v>
      </c>
      <c r="D5" s="4" t="s">
        <v>78</v>
      </c>
    </row>
    <row r="6" customFormat="false" ht="15" hidden="false" customHeight="false" outlineLevel="0" collapsed="false">
      <c r="A6" s="4" t="s">
        <v>13</v>
      </c>
      <c r="B6" s="4" t="s">
        <v>180</v>
      </c>
      <c r="C6" s="5" t="s">
        <v>8</v>
      </c>
      <c r="D6" s="4" t="s">
        <v>78</v>
      </c>
    </row>
    <row r="7" customFormat="false" ht="15" hidden="false" customHeight="false" outlineLevel="0" collapsed="false">
      <c r="A7" s="4" t="s">
        <v>13</v>
      </c>
      <c r="B7" s="4" t="s">
        <v>181</v>
      </c>
      <c r="C7" s="5" t="s">
        <v>8</v>
      </c>
      <c r="D7" s="4" t="s">
        <v>78</v>
      </c>
    </row>
    <row r="8" customFormat="false" ht="15" hidden="false" customHeight="false" outlineLevel="0" collapsed="false">
      <c r="A8" s="4" t="s">
        <v>13</v>
      </c>
      <c r="B8" s="4" t="s">
        <v>182</v>
      </c>
      <c r="C8" s="5" t="s">
        <v>8</v>
      </c>
      <c r="D8" s="4" t="s">
        <v>78</v>
      </c>
    </row>
    <row r="9" customFormat="false" ht="15" hidden="false" customHeight="false" outlineLevel="0" collapsed="false">
      <c r="A9" s="4" t="s">
        <v>13</v>
      </c>
      <c r="B9" s="4" t="s">
        <v>183</v>
      </c>
      <c r="C9" s="5" t="s">
        <v>8</v>
      </c>
      <c r="D9" s="4" t="s">
        <v>78</v>
      </c>
    </row>
    <row r="10" customFormat="false" ht="15" hidden="false" customHeight="false" outlineLevel="0" collapsed="false">
      <c r="A10" s="4" t="s">
        <v>13</v>
      </c>
      <c r="B10" s="4" t="s">
        <v>184</v>
      </c>
      <c r="C10" s="5" t="s">
        <v>8</v>
      </c>
      <c r="D10" s="4" t="s">
        <v>64</v>
      </c>
    </row>
    <row r="11" customFormat="false" ht="15" hidden="false" customHeight="false" outlineLevel="0" collapsed="false">
      <c r="A11" s="4" t="s">
        <v>13</v>
      </c>
      <c r="B11" s="4" t="s">
        <v>185</v>
      </c>
      <c r="C11" s="5" t="s">
        <v>8</v>
      </c>
      <c r="D11" s="4" t="s">
        <v>78</v>
      </c>
    </row>
    <row r="12" customFormat="false" ht="15" hidden="false" customHeight="false" outlineLevel="0" collapsed="false">
      <c r="A12" s="4" t="s">
        <v>13</v>
      </c>
      <c r="B12" s="4" t="s">
        <v>186</v>
      </c>
      <c r="C12" s="12" t="s">
        <v>43</v>
      </c>
      <c r="D12" s="4" t="s">
        <v>167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5" min="3" style="0" width="24"/>
    <col collapsed="false" customWidth="true" hidden="false" outlineLevel="0" max="6" min="6" style="0" width="8"/>
    <col collapsed="false" customWidth="true" hidden="false" outlineLevel="0" max="7" min="7" style="0" width="46"/>
  </cols>
  <sheetData>
    <row r="1" customFormat="false" ht="19.7" hidden="false" customHeight="false" outlineLevel="0" collapsed="false">
      <c r="A1" s="1" t="s">
        <v>187</v>
      </c>
    </row>
    <row r="2" customFormat="false" ht="15" hidden="false" customHeight="false" outlineLevel="0" collapsed="false">
      <c r="A2" s="2" t="s">
        <v>188</v>
      </c>
    </row>
    <row r="4" customFormat="false" ht="23.85" hidden="false" customHeight="false" outlineLevel="0" collapsed="false">
      <c r="A4" s="3" t="s">
        <v>189</v>
      </c>
      <c r="B4" s="3" t="s">
        <v>190</v>
      </c>
      <c r="C4" s="3" t="s">
        <v>30</v>
      </c>
      <c r="D4" s="3" t="s">
        <v>31</v>
      </c>
      <c r="E4" s="3" t="s">
        <v>32</v>
      </c>
      <c r="F4" s="3" t="s">
        <v>4</v>
      </c>
      <c r="G4" s="3" t="s">
        <v>191</v>
      </c>
    </row>
    <row r="5" customFormat="false" ht="15" hidden="false" customHeight="false" outlineLevel="0" collapsed="false">
      <c r="A5" s="15" t="s">
        <v>57</v>
      </c>
      <c r="B5" s="15"/>
      <c r="C5" s="15" t="s">
        <v>13</v>
      </c>
      <c r="D5" s="15" t="s">
        <v>13</v>
      </c>
      <c r="E5" s="15" t="s">
        <v>13</v>
      </c>
      <c r="F5" s="15"/>
      <c r="G5" s="15"/>
    </row>
    <row r="6" customFormat="false" ht="15" hidden="false" customHeight="false" outlineLevel="0" collapsed="false">
      <c r="A6" s="4" t="s">
        <v>192</v>
      </c>
      <c r="B6" s="4" t="s">
        <v>193</v>
      </c>
      <c r="C6" s="16" t="n">
        <v>4</v>
      </c>
      <c r="D6" s="16" t="n">
        <v>8</v>
      </c>
      <c r="E6" s="16" t="n">
        <v>10</v>
      </c>
      <c r="F6" s="5" t="s">
        <v>8</v>
      </c>
      <c r="G6" s="4" t="s">
        <v>194</v>
      </c>
    </row>
    <row r="7" customFormat="false" ht="15" hidden="false" customHeight="false" outlineLevel="0" collapsed="false">
      <c r="A7" s="4" t="s">
        <v>195</v>
      </c>
      <c r="B7" s="4" t="s">
        <v>196</v>
      </c>
      <c r="C7" s="16" t="n">
        <v>600</v>
      </c>
      <c r="D7" s="16" t="n">
        <v>600</v>
      </c>
      <c r="E7" s="16" t="n">
        <v>600</v>
      </c>
      <c r="F7" s="5" t="s">
        <v>8</v>
      </c>
      <c r="G7" s="4" t="s">
        <v>197</v>
      </c>
    </row>
    <row r="8" customFormat="false" ht="15" hidden="false" customHeight="false" outlineLevel="0" collapsed="false">
      <c r="A8" s="4" t="s">
        <v>198</v>
      </c>
      <c r="B8" s="4" t="s">
        <v>193</v>
      </c>
      <c r="C8" s="16" t="n">
        <v>2</v>
      </c>
      <c r="D8" s="16" t="n">
        <v>2</v>
      </c>
      <c r="E8" s="16" t="n">
        <v>2</v>
      </c>
      <c r="F8" s="5" t="s">
        <v>8</v>
      </c>
      <c r="G8" s="4" t="s">
        <v>199</v>
      </c>
    </row>
    <row r="9" customFormat="false" ht="15" hidden="false" customHeight="false" outlineLevel="0" collapsed="false">
      <c r="A9" s="4" t="s">
        <v>200</v>
      </c>
      <c r="B9" s="4" t="s">
        <v>196</v>
      </c>
      <c r="C9" s="16" t="n">
        <v>350</v>
      </c>
      <c r="D9" s="16" t="n">
        <v>350</v>
      </c>
      <c r="E9" s="16" t="n">
        <v>350</v>
      </c>
      <c r="F9" s="13" t="s">
        <v>47</v>
      </c>
      <c r="G9" s="4" t="s">
        <v>201</v>
      </c>
    </row>
    <row r="10" customFormat="false" ht="15" hidden="false" customHeight="false" outlineLevel="0" collapsed="false">
      <c r="A10" s="4" t="s">
        <v>202</v>
      </c>
      <c r="B10" s="4" t="s">
        <v>193</v>
      </c>
      <c r="C10" s="16" t="n">
        <v>16</v>
      </c>
      <c r="D10" s="16" t="n">
        <v>32</v>
      </c>
      <c r="E10" s="16" t="n">
        <v>32</v>
      </c>
      <c r="F10" s="13" t="s">
        <v>47</v>
      </c>
      <c r="G10" s="4" t="s">
        <v>203</v>
      </c>
    </row>
    <row r="11" customFormat="false" ht="15" hidden="false" customHeight="false" outlineLevel="0" collapsed="false">
      <c r="A11" s="4" t="s">
        <v>204</v>
      </c>
      <c r="B11" s="4" t="s">
        <v>196</v>
      </c>
      <c r="C11" s="16" t="n">
        <v>10</v>
      </c>
      <c r="D11" s="16" t="n">
        <v>10</v>
      </c>
      <c r="E11" s="16" t="n">
        <v>10</v>
      </c>
      <c r="F11" s="13" t="s">
        <v>47</v>
      </c>
      <c r="G11" s="4" t="s">
        <v>205</v>
      </c>
    </row>
    <row r="12" customFormat="false" ht="15" hidden="false" customHeight="false" outlineLevel="0" collapsed="false">
      <c r="A12" s="4" t="s">
        <v>206</v>
      </c>
      <c r="B12" s="4" t="s">
        <v>193</v>
      </c>
      <c r="C12" s="16" t="n">
        <v>4</v>
      </c>
      <c r="D12" s="16" t="n">
        <v>8</v>
      </c>
      <c r="E12" s="16" t="n">
        <v>8</v>
      </c>
      <c r="F12" s="13" t="s">
        <v>47</v>
      </c>
      <c r="G12" s="4" t="s">
        <v>207</v>
      </c>
    </row>
    <row r="13" customFormat="false" ht="15" hidden="false" customHeight="false" outlineLevel="0" collapsed="false">
      <c r="A13" s="4" t="s">
        <v>208</v>
      </c>
      <c r="B13" s="4" t="s">
        <v>196</v>
      </c>
      <c r="C13" s="16" t="n">
        <v>25</v>
      </c>
      <c r="D13" s="16" t="n">
        <v>25</v>
      </c>
      <c r="E13" s="16" t="n">
        <v>25</v>
      </c>
      <c r="F13" s="13" t="s">
        <v>47</v>
      </c>
      <c r="G13" s="4" t="s">
        <v>209</v>
      </c>
    </row>
    <row r="14" customFormat="false" ht="15" hidden="false" customHeight="false" outlineLevel="0" collapsed="false">
      <c r="A14" s="4" t="s">
        <v>210</v>
      </c>
      <c r="B14" s="4" t="s">
        <v>193</v>
      </c>
      <c r="C14" s="16" t="n">
        <v>2</v>
      </c>
      <c r="D14" s="16" t="n">
        <v>2</v>
      </c>
      <c r="E14" s="16" t="n">
        <v>2</v>
      </c>
      <c r="F14" s="5" t="s">
        <v>8</v>
      </c>
      <c r="G14" s="4" t="s">
        <v>199</v>
      </c>
    </row>
    <row r="15" customFormat="false" ht="15" hidden="false" customHeight="false" outlineLevel="0" collapsed="false">
      <c r="A15" s="4" t="s">
        <v>211</v>
      </c>
      <c r="B15" s="4" t="s">
        <v>196</v>
      </c>
      <c r="C15" s="16" t="n">
        <v>8</v>
      </c>
      <c r="D15" s="16" t="n">
        <v>8</v>
      </c>
      <c r="E15" s="16" t="n">
        <v>8</v>
      </c>
      <c r="F15" s="13" t="s">
        <v>47</v>
      </c>
      <c r="G15" s="4" t="s">
        <v>212</v>
      </c>
    </row>
    <row r="16" customFormat="false" ht="15" hidden="false" customHeight="false" outlineLevel="0" collapsed="false">
      <c r="A16" s="4" t="s">
        <v>213</v>
      </c>
      <c r="B16" s="4" t="s">
        <v>193</v>
      </c>
      <c r="C16" s="16" t="n">
        <v>2</v>
      </c>
      <c r="D16" s="16" t="n">
        <v>4</v>
      </c>
      <c r="E16" s="16" t="n">
        <v>2</v>
      </c>
      <c r="F16" s="13" t="s">
        <v>47</v>
      </c>
      <c r="G16" s="4" t="s">
        <v>214</v>
      </c>
    </row>
    <row r="17" customFormat="false" ht="15" hidden="false" customHeight="false" outlineLevel="0" collapsed="false">
      <c r="A17" s="4" t="s">
        <v>215</v>
      </c>
      <c r="B17" s="4" t="s">
        <v>196</v>
      </c>
      <c r="C17" s="16" t="n">
        <v>25</v>
      </c>
      <c r="D17" s="16" t="n">
        <v>25</v>
      </c>
      <c r="E17" s="16" t="n">
        <v>25</v>
      </c>
      <c r="F17" s="13" t="s">
        <v>47</v>
      </c>
      <c r="G17" s="4" t="s">
        <v>216</v>
      </c>
    </row>
    <row r="18" customFormat="false" ht="15" hidden="false" customHeight="false" outlineLevel="0" collapsed="false">
      <c r="A18" s="4" t="s">
        <v>217</v>
      </c>
      <c r="B18" s="4" t="s">
        <v>196</v>
      </c>
      <c r="C18" s="16" t="n">
        <v>150</v>
      </c>
      <c r="D18" s="16" t="n">
        <v>250</v>
      </c>
      <c r="E18" s="16" t="n">
        <v>250</v>
      </c>
      <c r="F18" s="13" t="s">
        <v>47</v>
      </c>
      <c r="G18" s="4" t="s">
        <v>218</v>
      </c>
    </row>
    <row r="19" customFormat="false" ht="23.85" hidden="false" customHeight="false" outlineLevel="0" collapsed="false">
      <c r="A19" s="4" t="s">
        <v>219</v>
      </c>
      <c r="B19" s="4" t="s">
        <v>220</v>
      </c>
      <c r="C19" s="17" t="n">
        <v>0.08</v>
      </c>
      <c r="D19" s="17" t="n">
        <v>0.08</v>
      </c>
      <c r="E19" s="17" t="n">
        <v>0.08</v>
      </c>
      <c r="F19" s="13" t="s">
        <v>47</v>
      </c>
      <c r="G19" s="4" t="s">
        <v>212</v>
      </c>
    </row>
    <row r="20" customFormat="false" ht="15" hidden="false" customHeight="false" outlineLevel="0" collapsed="false">
      <c r="A20" s="4" t="s">
        <v>221</v>
      </c>
      <c r="B20" s="4" t="s">
        <v>222</v>
      </c>
      <c r="C20" s="18" t="n">
        <v>0.95</v>
      </c>
      <c r="D20" s="18" t="n">
        <v>0.95</v>
      </c>
      <c r="E20" s="18" t="n">
        <v>0.95</v>
      </c>
      <c r="F20" s="13" t="s">
        <v>47</v>
      </c>
      <c r="G20" s="4" t="s">
        <v>223</v>
      </c>
    </row>
    <row r="21" customFormat="false" ht="15" hidden="false" customHeight="false" outlineLevel="0" collapsed="false">
      <c r="A21" s="4" t="s">
        <v>224</v>
      </c>
      <c r="B21" s="4" t="s">
        <v>196</v>
      </c>
      <c r="C21" s="16" t="n">
        <v>3200</v>
      </c>
      <c r="D21" s="16" t="n">
        <v>3200</v>
      </c>
      <c r="E21" s="16" t="n">
        <v>3200</v>
      </c>
      <c r="F21" s="5" t="s">
        <v>8</v>
      </c>
      <c r="G21" s="4" t="s">
        <v>199</v>
      </c>
    </row>
    <row r="22" customFormat="false" ht="15" hidden="false" customHeight="false" outlineLevel="0" collapsed="false">
      <c r="A22" s="4" t="s">
        <v>225</v>
      </c>
      <c r="B22" s="4" t="s">
        <v>193</v>
      </c>
      <c r="C22" s="16" t="n">
        <v>5</v>
      </c>
      <c r="D22" s="16" t="n">
        <v>8</v>
      </c>
      <c r="E22" s="16" t="n">
        <v>8</v>
      </c>
      <c r="F22" s="5" t="s">
        <v>8</v>
      </c>
      <c r="G22" s="4" t="s">
        <v>226</v>
      </c>
    </row>
    <row r="23" customFormat="false" ht="15" hidden="false" customHeight="false" outlineLevel="0" collapsed="false">
      <c r="A23" s="4" t="s">
        <v>227</v>
      </c>
      <c r="B23" s="4" t="s">
        <v>193</v>
      </c>
      <c r="C23" s="16" t="n">
        <v>1</v>
      </c>
      <c r="D23" s="16" t="n">
        <v>1</v>
      </c>
      <c r="E23" s="16" t="n">
        <v>1</v>
      </c>
      <c r="F23" s="13" t="s">
        <v>47</v>
      </c>
      <c r="G23" s="4" t="s">
        <v>228</v>
      </c>
    </row>
    <row r="24" customFormat="false" ht="15" hidden="false" customHeight="false" outlineLevel="0" collapsed="false">
      <c r="A24" s="4" t="s">
        <v>229</v>
      </c>
      <c r="B24" s="4" t="s">
        <v>193</v>
      </c>
      <c r="C24" s="16" t="n">
        <v>3</v>
      </c>
      <c r="D24" s="16" t="n">
        <v>6</v>
      </c>
      <c r="E24" s="16" t="n">
        <v>6</v>
      </c>
      <c r="F24" s="5" t="s">
        <v>8</v>
      </c>
      <c r="G24" s="4" t="s">
        <v>230</v>
      </c>
    </row>
    <row r="25" customFormat="false" ht="15" hidden="false" customHeight="false" outlineLevel="0" collapsed="false">
      <c r="A25" s="4" t="s">
        <v>231</v>
      </c>
      <c r="B25" s="4" t="s">
        <v>232</v>
      </c>
      <c r="C25" s="16" t="n">
        <v>30</v>
      </c>
      <c r="D25" s="16" t="n">
        <v>30</v>
      </c>
      <c r="E25" s="16" t="n">
        <v>30</v>
      </c>
      <c r="F25" s="13" t="s">
        <v>47</v>
      </c>
      <c r="G25" s="4" t="s">
        <v>233</v>
      </c>
    </row>
    <row r="26" customFormat="false" ht="15" hidden="false" customHeight="false" outlineLevel="0" collapsed="false">
      <c r="A26" s="4" t="s">
        <v>234</v>
      </c>
      <c r="B26" s="4" t="s">
        <v>235</v>
      </c>
      <c r="C26" s="16" t="n">
        <v>4</v>
      </c>
      <c r="D26" s="16" t="n">
        <v>4</v>
      </c>
      <c r="E26" s="16" t="n">
        <v>4</v>
      </c>
      <c r="F26" s="5" t="s">
        <v>8</v>
      </c>
      <c r="G26" s="4" t="s">
        <v>199</v>
      </c>
    </row>
    <row r="27" customFormat="false" ht="15" hidden="false" customHeight="false" outlineLevel="0" collapsed="false">
      <c r="A27" s="4" t="s">
        <v>236</v>
      </c>
      <c r="B27" s="4" t="s">
        <v>235</v>
      </c>
      <c r="C27" s="16" t="n">
        <v>38</v>
      </c>
      <c r="D27" s="16" t="n">
        <v>38</v>
      </c>
      <c r="E27" s="16" t="n">
        <v>38</v>
      </c>
      <c r="F27" s="13" t="s">
        <v>47</v>
      </c>
      <c r="G27" s="4" t="s">
        <v>237</v>
      </c>
    </row>
    <row r="29" customFormat="false" ht="15" hidden="false" customHeight="false" outlineLevel="0" collapsed="false">
      <c r="A29" s="9" t="s">
        <v>238</v>
      </c>
      <c r="B29" s="10"/>
      <c r="C29" s="10"/>
      <c r="D29" s="10"/>
      <c r="E29" s="10"/>
      <c r="F29" s="10"/>
      <c r="G29" s="10"/>
    </row>
    <row r="30" customFormat="false" ht="23.85" hidden="false" customHeight="false" outlineLevel="0" collapsed="false">
      <c r="A30" s="3" t="s">
        <v>239</v>
      </c>
      <c r="B30" s="3" t="s">
        <v>190</v>
      </c>
      <c r="C30" s="3" t="s">
        <v>30</v>
      </c>
      <c r="D30" s="3" t="s">
        <v>31</v>
      </c>
      <c r="E30" s="3" t="s">
        <v>32</v>
      </c>
      <c r="F30" s="3" t="s">
        <v>4</v>
      </c>
      <c r="G30" s="3" t="s">
        <v>240</v>
      </c>
    </row>
    <row r="31" customFormat="false" ht="15" hidden="false" customHeight="false" outlineLevel="0" collapsed="false">
      <c r="A31" s="4" t="s">
        <v>241</v>
      </c>
      <c r="B31" s="4" t="s">
        <v>196</v>
      </c>
      <c r="C31" s="11" t="n">
        <f aca="false">C6*C7</f>
        <v>2400</v>
      </c>
      <c r="D31" s="11" t="n">
        <f aca="false">D6*D7</f>
        <v>4800</v>
      </c>
      <c r="E31" s="11" t="n">
        <f aca="false">E6*E7</f>
        <v>6000</v>
      </c>
      <c r="F31" s="6" t="s">
        <v>11</v>
      </c>
      <c r="G31" s="4" t="s">
        <v>242</v>
      </c>
    </row>
    <row r="32" customFormat="false" ht="15" hidden="false" customHeight="false" outlineLevel="0" collapsed="false">
      <c r="A32" s="4" t="s">
        <v>243</v>
      </c>
      <c r="B32" s="4" t="s">
        <v>196</v>
      </c>
      <c r="C32" s="11" t="n">
        <f aca="false">C8*C9</f>
        <v>700</v>
      </c>
      <c r="D32" s="11" t="n">
        <f aca="false">D8*D9</f>
        <v>700</v>
      </c>
      <c r="E32" s="11" t="n">
        <f aca="false">E8*E9</f>
        <v>700</v>
      </c>
      <c r="F32" s="6" t="s">
        <v>11</v>
      </c>
      <c r="G32" s="4" t="s">
        <v>244</v>
      </c>
    </row>
    <row r="33" customFormat="false" ht="15" hidden="false" customHeight="false" outlineLevel="0" collapsed="false">
      <c r="A33" s="4" t="s">
        <v>245</v>
      </c>
      <c r="B33" s="4" t="s">
        <v>196</v>
      </c>
      <c r="C33" s="11" t="n">
        <f aca="false">C10*C11</f>
        <v>160</v>
      </c>
      <c r="D33" s="11" t="n">
        <f aca="false">D10*D11</f>
        <v>320</v>
      </c>
      <c r="E33" s="11" t="n">
        <f aca="false">E10*E11</f>
        <v>320</v>
      </c>
      <c r="F33" s="6" t="s">
        <v>11</v>
      </c>
      <c r="G33" s="4" t="s">
        <v>246</v>
      </c>
    </row>
    <row r="34" customFormat="false" ht="15" hidden="false" customHeight="false" outlineLevel="0" collapsed="false">
      <c r="A34" s="4" t="s">
        <v>247</v>
      </c>
      <c r="B34" s="4" t="s">
        <v>196</v>
      </c>
      <c r="C34" s="11" t="n">
        <f aca="false">C12*C13+C14*C15</f>
        <v>116</v>
      </c>
      <c r="D34" s="11" t="n">
        <f aca="false">D12*D13+D14*D15</f>
        <v>216</v>
      </c>
      <c r="E34" s="11" t="n">
        <f aca="false">E12*E13+E14*E15</f>
        <v>216</v>
      </c>
      <c r="F34" s="6" t="s">
        <v>11</v>
      </c>
      <c r="G34" s="4" t="s">
        <v>248</v>
      </c>
    </row>
    <row r="35" customFormat="false" ht="15" hidden="false" customHeight="false" outlineLevel="0" collapsed="false">
      <c r="A35" s="4" t="s">
        <v>249</v>
      </c>
      <c r="B35" s="4" t="s">
        <v>196</v>
      </c>
      <c r="C35" s="11" t="n">
        <f aca="false">C16*C17</f>
        <v>50</v>
      </c>
      <c r="D35" s="11" t="n">
        <f aca="false">D16*D17</f>
        <v>100</v>
      </c>
      <c r="E35" s="11" t="n">
        <f aca="false">E16*E17</f>
        <v>50</v>
      </c>
      <c r="F35" s="6" t="s">
        <v>11</v>
      </c>
      <c r="G35" s="4" t="s">
        <v>250</v>
      </c>
    </row>
    <row r="36" customFormat="false" ht="15" hidden="false" customHeight="false" outlineLevel="0" collapsed="false">
      <c r="A36" s="4" t="s">
        <v>251</v>
      </c>
      <c r="B36" s="4" t="s">
        <v>196</v>
      </c>
      <c r="C36" s="11" t="n">
        <f aca="false">C18</f>
        <v>150</v>
      </c>
      <c r="D36" s="11" t="n">
        <f aca="false">D18</f>
        <v>250</v>
      </c>
      <c r="E36" s="11" t="n">
        <f aca="false">E18</f>
        <v>250</v>
      </c>
      <c r="F36" s="6" t="s">
        <v>11</v>
      </c>
      <c r="G36" s="4" t="s">
        <v>252</v>
      </c>
    </row>
    <row r="37" customFormat="false" ht="15" hidden="false" customHeight="false" outlineLevel="0" collapsed="false">
      <c r="A37" s="4" t="s">
        <v>253</v>
      </c>
      <c r="B37" s="4" t="s">
        <v>196</v>
      </c>
      <c r="C37" s="11" t="n">
        <f aca="false">SUM(C31:C36)</f>
        <v>3576</v>
      </c>
      <c r="D37" s="11" t="n">
        <f aca="false">SUM(D31:D36)</f>
        <v>6386</v>
      </c>
      <c r="E37" s="11" t="n">
        <f aca="false">SUM(E31:E36)</f>
        <v>7536</v>
      </c>
      <c r="F37" s="6" t="s">
        <v>11</v>
      </c>
      <c r="G37" s="4" t="s">
        <v>254</v>
      </c>
    </row>
    <row r="38" customFormat="false" ht="15" hidden="false" customHeight="false" outlineLevel="0" collapsed="false">
      <c r="A38" s="4" t="s">
        <v>255</v>
      </c>
      <c r="B38" s="4" t="s">
        <v>196</v>
      </c>
      <c r="C38" s="11" t="n">
        <f aca="false">C37*C19</f>
        <v>286.08</v>
      </c>
      <c r="D38" s="11" t="n">
        <f aca="false">D37*D19</f>
        <v>510.88</v>
      </c>
      <c r="E38" s="11" t="n">
        <f aca="false">E37*E19</f>
        <v>602.88</v>
      </c>
      <c r="F38" s="6" t="s">
        <v>11</v>
      </c>
      <c r="G38" s="4" t="s">
        <v>256</v>
      </c>
    </row>
    <row r="39" customFormat="false" ht="15" hidden="false" customHeight="false" outlineLevel="0" collapsed="false">
      <c r="A39" s="4" t="s">
        <v>257</v>
      </c>
      <c r="B39" s="4" t="s">
        <v>196</v>
      </c>
      <c r="C39" s="11" t="n">
        <f aca="false">C37+C38</f>
        <v>3862.08</v>
      </c>
      <c r="D39" s="11" t="n">
        <f aca="false">D37+D38</f>
        <v>6896.88</v>
      </c>
      <c r="E39" s="11" t="n">
        <f aca="false">E37+E38</f>
        <v>8138.88</v>
      </c>
      <c r="F39" s="6" t="s">
        <v>11</v>
      </c>
      <c r="G39" s="4" t="s">
        <v>258</v>
      </c>
    </row>
    <row r="40" customFormat="false" ht="15" hidden="false" customHeight="false" outlineLevel="0" collapsed="false">
      <c r="A40" s="4" t="s">
        <v>259</v>
      </c>
      <c r="B40" s="4" t="s">
        <v>260</v>
      </c>
      <c r="C40" s="19" t="n">
        <f aca="false">C31/C39</f>
        <v>0.62142679592344</v>
      </c>
      <c r="D40" s="19" t="n">
        <f aca="false">D31/D39</f>
        <v>0.695966871976894</v>
      </c>
      <c r="E40" s="19" t="n">
        <f aca="false">E31/E39</f>
        <v>0.73720217032319</v>
      </c>
      <c r="F40" s="6" t="s">
        <v>11</v>
      </c>
      <c r="G40" s="4" t="s">
        <v>261</v>
      </c>
    </row>
    <row r="41" customFormat="false" ht="15" hidden="false" customHeight="false" outlineLevel="0" collapsed="false">
      <c r="A41" s="4" t="s">
        <v>262</v>
      </c>
      <c r="B41" s="4" t="s">
        <v>196</v>
      </c>
      <c r="C41" s="11" t="n">
        <f aca="false">C39/C20</f>
        <v>4065.34736842105</v>
      </c>
      <c r="D41" s="11" t="n">
        <f aca="false">D39/D20</f>
        <v>7259.87368421053</v>
      </c>
      <c r="E41" s="11" t="n">
        <f aca="false">E39/E20</f>
        <v>8567.24210526316</v>
      </c>
      <c r="F41" s="6" t="s">
        <v>11</v>
      </c>
      <c r="G41" s="4" t="s">
        <v>263</v>
      </c>
    </row>
    <row r="42" customFormat="false" ht="15" hidden="false" customHeight="false" outlineLevel="0" collapsed="false">
      <c r="A42" s="4" t="s">
        <v>264</v>
      </c>
      <c r="B42" s="4" t="s">
        <v>196</v>
      </c>
      <c r="C42" s="11" t="n">
        <f aca="false">IF(C21=0,"n/a",(C22-C23)*C21)</f>
        <v>12800</v>
      </c>
      <c r="D42" s="11" t="n">
        <f aca="false">IF(D21=0,"n/a",(D22-D23)*D21)</f>
        <v>22400</v>
      </c>
      <c r="E42" s="11" t="n">
        <f aca="false">IF(E21=0,"n/a",(E22-E23)*E21)</f>
        <v>22400</v>
      </c>
      <c r="F42" s="6" t="s">
        <v>11</v>
      </c>
      <c r="G42" s="4" t="s">
        <v>265</v>
      </c>
    </row>
    <row r="43" customFormat="false" ht="15" hidden="false" customHeight="false" outlineLevel="0" collapsed="false">
      <c r="A43" s="4" t="s">
        <v>266</v>
      </c>
      <c r="B43" s="4" t="s">
        <v>196</v>
      </c>
      <c r="C43" s="11" t="n">
        <f aca="false">IF(ISNUMBER(C42),C42-C39,"n/a")</f>
        <v>8937.92</v>
      </c>
      <c r="D43" s="11" t="n">
        <f aca="false">IF(ISNUMBER(D42),D42-D39,"n/a")</f>
        <v>15503.12</v>
      </c>
      <c r="E43" s="11" t="n">
        <f aca="false">IF(ISNUMBER(E42),E42-E39,"n/a")</f>
        <v>14261.12</v>
      </c>
      <c r="F43" s="6" t="s">
        <v>11</v>
      </c>
      <c r="G43" s="4" t="s">
        <v>267</v>
      </c>
    </row>
    <row r="44" customFormat="false" ht="15" hidden="false" customHeight="false" outlineLevel="0" collapsed="false">
      <c r="A44" s="4" t="s">
        <v>268</v>
      </c>
      <c r="B44" s="4" t="s">
        <v>260</v>
      </c>
      <c r="C44" s="19" t="n">
        <f aca="false">IF(ISNUMBER(C42),C39/C42,"n/a")</f>
        <v>0.301725</v>
      </c>
      <c r="D44" s="19" t="n">
        <f aca="false">IF(ISNUMBER(D42),D39/D42,"n/a")</f>
        <v>0.307896428571429</v>
      </c>
      <c r="E44" s="19" t="n">
        <f aca="false">IF(ISNUMBER(E42),E39/E42,"n/a")</f>
        <v>0.363342857142857</v>
      </c>
      <c r="F44" s="6" t="s">
        <v>11</v>
      </c>
      <c r="G44" s="4" t="s">
        <v>269</v>
      </c>
    </row>
    <row r="45" customFormat="false" ht="15" hidden="false" customHeight="false" outlineLevel="0" collapsed="false">
      <c r="A45" s="4" t="s">
        <v>270</v>
      </c>
      <c r="B45" s="4"/>
      <c r="C45" s="20" t="str">
        <f aca="false">IF(ISNUMBER(C42),IF(C39&lt;=C42,"OK within redundant capacity","EXCEEDS redundant capacity"),"PSU data not published")</f>
        <v>OK within redundant capacity</v>
      </c>
      <c r="D45" s="20" t="str">
        <f aca="false">IF(ISNUMBER(D42),IF(D39&lt;=D42,"OK within redundant capacity","EXCEEDS redundant capacity"),"PSU data not published")</f>
        <v>OK within redundant capacity</v>
      </c>
      <c r="E45" s="20" t="str">
        <f aca="false">IF(ISNUMBER(E42),IF(E39&lt;=E42,"OK within redundant capacity","EXCEEDS redundant capacity"),"PSU data not published")</f>
        <v>OK within redundant capacity</v>
      </c>
      <c r="F45" s="6" t="s">
        <v>11</v>
      </c>
      <c r="G45" s="4"/>
    </row>
    <row r="46" customFormat="false" ht="15" hidden="false" customHeight="false" outlineLevel="0" collapsed="false">
      <c r="A46" s="4" t="s">
        <v>271</v>
      </c>
      <c r="B46" s="4" t="s">
        <v>196</v>
      </c>
      <c r="C46" s="11" t="n">
        <f aca="false">IF(C24&gt;0,C24*C21,"n/a")</f>
        <v>9600</v>
      </c>
      <c r="D46" s="11" t="n">
        <f aca="false">IF(D24&gt;0,D24*D21,"n/a")</f>
        <v>19200</v>
      </c>
      <c r="E46" s="11" t="n">
        <f aca="false">IF(E24&gt;0,E24*E21,"n/a")</f>
        <v>19200</v>
      </c>
      <c r="F46" s="6" t="s">
        <v>11</v>
      </c>
      <c r="G46" s="4" t="s">
        <v>272</v>
      </c>
    </row>
    <row r="47" customFormat="false" ht="15" hidden="false" customHeight="false" outlineLevel="0" collapsed="false">
      <c r="A47" s="4" t="s">
        <v>273</v>
      </c>
      <c r="B47" s="4"/>
      <c r="C47" s="20" t="str">
        <f aca="false">IF(C24&gt;0,IF(C31&lt;=C46,"OK","EXCEEDS"),"n/a")</f>
        <v>OK</v>
      </c>
      <c r="D47" s="20" t="str">
        <f aca="false">IF(D24&gt;0,IF(D31&lt;=D46,"OK","EXCEEDS"),"n/a")</f>
        <v>OK</v>
      </c>
      <c r="E47" s="20" t="str">
        <f aca="false">IF(E24&gt;0,IF(E31&lt;=E46,"OK","EXCEEDS"),"n/a")</f>
        <v>OK</v>
      </c>
      <c r="F47" s="6" t="s">
        <v>11</v>
      </c>
      <c r="G47" s="4" t="s">
        <v>274</v>
      </c>
    </row>
    <row r="48" customFormat="false" ht="15" hidden="false" customHeight="false" outlineLevel="0" collapsed="false">
      <c r="A48" s="4" t="s">
        <v>275</v>
      </c>
      <c r="B48" s="4" t="s">
        <v>276</v>
      </c>
      <c r="C48" s="11" t="n">
        <f aca="false">C41*3.412</f>
        <v>13870.9652210526</v>
      </c>
      <c r="D48" s="11" t="n">
        <f aca="false">D41*3.412</f>
        <v>24770.6890105263</v>
      </c>
      <c r="E48" s="11" t="n">
        <f aca="false">E41*3.412</f>
        <v>29231.4300631579</v>
      </c>
      <c r="F48" s="6" t="s">
        <v>11</v>
      </c>
      <c r="G48" s="4" t="s">
        <v>277</v>
      </c>
    </row>
    <row r="49" customFormat="false" ht="15" hidden="false" customHeight="false" outlineLevel="0" collapsed="false">
      <c r="A49" s="4" t="s">
        <v>278</v>
      </c>
      <c r="B49" s="4" t="s">
        <v>232</v>
      </c>
      <c r="C49" s="21" t="n">
        <f aca="false">C41/C6/1000</f>
        <v>1.01633684210526</v>
      </c>
      <c r="D49" s="21" t="n">
        <f aca="false">D41/D6/1000</f>
        <v>0.907484210526316</v>
      </c>
      <c r="E49" s="21" t="n">
        <f aca="false">E41/E6/1000</f>
        <v>0.856724210526316</v>
      </c>
      <c r="F49" s="6" t="s">
        <v>11</v>
      </c>
      <c r="G49" s="4" t="s">
        <v>279</v>
      </c>
    </row>
    <row r="50" customFormat="false" ht="15" hidden="false" customHeight="false" outlineLevel="0" collapsed="false">
      <c r="A50" s="4" t="s">
        <v>280</v>
      </c>
      <c r="B50" s="4" t="s">
        <v>193</v>
      </c>
      <c r="C50" s="22" t="n">
        <f aca="false">INT(C25*1000/C41)</f>
        <v>7</v>
      </c>
      <c r="D50" s="22" t="n">
        <f aca="false">INT(D25*1000/D41)</f>
        <v>4</v>
      </c>
      <c r="E50" s="22" t="n">
        <f aca="false">INT(E25*1000/E41)</f>
        <v>3</v>
      </c>
      <c r="F50" s="6" t="s">
        <v>11</v>
      </c>
      <c r="G50" s="4" t="s">
        <v>281</v>
      </c>
    </row>
    <row r="51" customFormat="false" ht="15" hidden="false" customHeight="false" outlineLevel="0" collapsed="false">
      <c r="A51" s="4" t="s">
        <v>282</v>
      </c>
      <c r="B51" s="4" t="s">
        <v>193</v>
      </c>
      <c r="C51" s="22" t="n">
        <f aca="false">INT(C27/C26)</f>
        <v>9</v>
      </c>
      <c r="D51" s="22" t="n">
        <f aca="false">INT(D27/D26)</f>
        <v>9</v>
      </c>
      <c r="E51" s="22" t="n">
        <f aca="false">INT(E27/E26)</f>
        <v>9</v>
      </c>
      <c r="F51" s="6" t="s">
        <v>11</v>
      </c>
      <c r="G51" s="4" t="s">
        <v>283</v>
      </c>
    </row>
    <row r="52" customFormat="false" ht="15" hidden="false" customHeight="false" outlineLevel="0" collapsed="false">
      <c r="A52" s="4" t="s">
        <v>284</v>
      </c>
      <c r="B52" s="4" t="s">
        <v>193</v>
      </c>
      <c r="C52" s="22" t="n">
        <f aca="false">MIN(C50,C51)</f>
        <v>7</v>
      </c>
      <c r="D52" s="22" t="n">
        <f aca="false">MIN(D50,D51)</f>
        <v>4</v>
      </c>
      <c r="E52" s="22" t="n">
        <f aca="false">MIN(E50,E51)</f>
        <v>3</v>
      </c>
      <c r="F52" s="6" t="s">
        <v>11</v>
      </c>
      <c r="G52" s="4" t="s">
        <v>285</v>
      </c>
    </row>
    <row r="53" customFormat="false" ht="15" hidden="false" customHeight="false" outlineLevel="0" collapsed="false">
      <c r="A53" s="4" t="s">
        <v>286</v>
      </c>
      <c r="B53" s="4" t="s">
        <v>193</v>
      </c>
      <c r="C53" s="22" t="n">
        <f aca="false">C52*C6</f>
        <v>28</v>
      </c>
      <c r="D53" s="22" t="n">
        <f aca="false">D52*D6</f>
        <v>32</v>
      </c>
      <c r="E53" s="22" t="n">
        <f aca="false">E52*E6</f>
        <v>30</v>
      </c>
      <c r="F53" s="6" t="s">
        <v>11</v>
      </c>
      <c r="G53" s="4" t="s">
        <v>287</v>
      </c>
    </row>
    <row r="54" customFormat="false" ht="15" hidden="false" customHeight="false" outlineLevel="0" collapsed="false">
      <c r="A54" s="4" t="s">
        <v>288</v>
      </c>
      <c r="B54" s="4" t="s">
        <v>232</v>
      </c>
      <c r="C54" s="23" t="n">
        <f aca="false">C52*C41/1000</f>
        <v>28.4574315789474</v>
      </c>
      <c r="D54" s="23" t="n">
        <f aca="false">D52*D41/1000</f>
        <v>29.0394947368421</v>
      </c>
      <c r="E54" s="23" t="n">
        <f aca="false">E52*E41/1000</f>
        <v>25.7017263157895</v>
      </c>
      <c r="F54" s="6" t="s">
        <v>11</v>
      </c>
      <c r="G54" s="4" t="s">
        <v>289</v>
      </c>
    </row>
    <row r="56" customFormat="false" ht="39" hidden="false" customHeight="true" outlineLevel="0" collapsed="false">
      <c r="A56" s="24" t="s">
        <v>290</v>
      </c>
      <c r="B56" s="24"/>
      <c r="C56" s="24"/>
      <c r="D56" s="24"/>
      <c r="E56" s="24"/>
      <c r="F56" s="24"/>
      <c r="G56" s="24"/>
    </row>
  </sheetData>
  <mergeCells count="1">
    <mergeCell ref="A56:G56"/>
  </mergeCell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46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291</v>
      </c>
    </row>
    <row r="2" customFormat="false" ht="15" hidden="false" customHeight="false" outlineLevel="0" collapsed="false">
      <c r="A2" s="2" t="s">
        <v>292</v>
      </c>
    </row>
    <row r="4" customFormat="false" ht="15" hidden="false" customHeight="false" outlineLevel="0" collapsed="false">
      <c r="A4" s="9" t="s">
        <v>293</v>
      </c>
      <c r="B4" s="10"/>
      <c r="C4" s="10"/>
      <c r="D4" s="10"/>
      <c r="E4" s="10"/>
      <c r="F4" s="10"/>
      <c r="G4" s="10"/>
      <c r="H4" s="10"/>
    </row>
    <row r="5" customFormat="false" ht="15" hidden="false" customHeight="false" outlineLevel="0" collapsed="false">
      <c r="A5" s="3" t="s">
        <v>57</v>
      </c>
      <c r="B5" s="3" t="s">
        <v>294</v>
      </c>
      <c r="C5" s="3" t="s">
        <v>295</v>
      </c>
      <c r="D5" s="3" t="s">
        <v>9</v>
      </c>
      <c r="E5" s="3" t="s">
        <v>296</v>
      </c>
      <c r="F5" s="3" t="s">
        <v>297</v>
      </c>
      <c r="G5" s="3" t="s">
        <v>29</v>
      </c>
      <c r="H5" s="3" t="s">
        <v>4</v>
      </c>
    </row>
    <row r="6" customFormat="false" ht="15" hidden="false" customHeight="false" outlineLevel="0" collapsed="false">
      <c r="A6" s="4" t="s">
        <v>13</v>
      </c>
      <c r="B6" s="4" t="s">
        <v>298</v>
      </c>
      <c r="C6" s="4" t="s">
        <v>299</v>
      </c>
      <c r="D6" s="4" t="s">
        <v>300</v>
      </c>
      <c r="E6" s="4" t="s">
        <v>301</v>
      </c>
      <c r="F6" s="4" t="s">
        <v>302</v>
      </c>
      <c r="G6" s="4" t="s">
        <v>303</v>
      </c>
      <c r="H6" s="13" t="s">
        <v>47</v>
      </c>
    </row>
    <row r="7" customFormat="false" ht="15" hidden="false" customHeight="false" outlineLevel="0" collapsed="false">
      <c r="A7" s="4" t="s">
        <v>13</v>
      </c>
      <c r="B7" s="4" t="s">
        <v>304</v>
      </c>
      <c r="C7" s="4" t="s">
        <v>299</v>
      </c>
      <c r="D7" s="4" t="s">
        <v>300</v>
      </c>
      <c r="E7" s="4" t="s">
        <v>305</v>
      </c>
      <c r="F7" s="4" t="s">
        <v>306</v>
      </c>
      <c r="G7" s="4" t="s">
        <v>303</v>
      </c>
      <c r="H7" s="13" t="s">
        <v>47</v>
      </c>
    </row>
    <row r="8" customFormat="false" ht="15" hidden="false" customHeight="false" outlineLevel="0" collapsed="false">
      <c r="A8" s="4" t="s">
        <v>13</v>
      </c>
      <c r="B8" s="4" t="s">
        <v>307</v>
      </c>
      <c r="C8" s="4" t="s">
        <v>299</v>
      </c>
      <c r="D8" s="4" t="s">
        <v>308</v>
      </c>
      <c r="E8" s="4" t="s">
        <v>309</v>
      </c>
      <c r="F8" s="4" t="s">
        <v>310</v>
      </c>
      <c r="G8" s="4" t="s">
        <v>311</v>
      </c>
      <c r="H8" s="6" t="s">
        <v>11</v>
      </c>
    </row>
    <row r="9" customFormat="false" ht="15" hidden="false" customHeight="false" outlineLevel="0" collapsed="false">
      <c r="A9" s="4" t="s">
        <v>13</v>
      </c>
      <c r="B9" s="4" t="s">
        <v>312</v>
      </c>
      <c r="C9" s="4" t="s">
        <v>299</v>
      </c>
      <c r="D9" s="4" t="s">
        <v>308</v>
      </c>
      <c r="E9" s="4" t="s">
        <v>313</v>
      </c>
      <c r="F9" s="4" t="s">
        <v>314</v>
      </c>
      <c r="G9" s="4" t="s">
        <v>303</v>
      </c>
      <c r="H9" s="13" t="s">
        <v>47</v>
      </c>
    </row>
    <row r="10" customFormat="false" ht="15" hidden="false" customHeight="false" outlineLevel="0" collapsed="false">
      <c r="A10" s="4" t="s">
        <v>13</v>
      </c>
      <c r="B10" s="4" t="s">
        <v>315</v>
      </c>
      <c r="C10" s="4" t="s">
        <v>299</v>
      </c>
      <c r="D10" s="4" t="s">
        <v>316</v>
      </c>
      <c r="E10" s="4" t="s">
        <v>317</v>
      </c>
      <c r="F10" s="4" t="s">
        <v>310</v>
      </c>
      <c r="G10" s="4" t="s">
        <v>311</v>
      </c>
      <c r="H10" s="6" t="s">
        <v>11</v>
      </c>
    </row>
    <row r="11" customFormat="false" ht="15" hidden="false" customHeight="false" outlineLevel="0" collapsed="false">
      <c r="A11" s="4" t="s">
        <v>13</v>
      </c>
      <c r="B11" s="4" t="s">
        <v>318</v>
      </c>
      <c r="C11" s="4" t="s">
        <v>299</v>
      </c>
      <c r="D11" s="4" t="s">
        <v>316</v>
      </c>
      <c r="E11" s="4" t="s">
        <v>319</v>
      </c>
      <c r="F11" s="4" t="s">
        <v>314</v>
      </c>
      <c r="G11" s="4" t="s">
        <v>303</v>
      </c>
      <c r="H11" s="13" t="s">
        <v>47</v>
      </c>
    </row>
    <row r="12" customFormat="false" ht="15" hidden="false" customHeight="false" outlineLevel="0" collapsed="false">
      <c r="A12" s="4" t="s">
        <v>13</v>
      </c>
      <c r="B12" s="4" t="s">
        <v>320</v>
      </c>
      <c r="C12" s="4" t="s">
        <v>321</v>
      </c>
      <c r="D12" s="4" t="s">
        <v>300</v>
      </c>
      <c r="E12" s="4" t="s">
        <v>301</v>
      </c>
      <c r="F12" s="4" t="s">
        <v>302</v>
      </c>
      <c r="G12" s="4" t="s">
        <v>303</v>
      </c>
      <c r="H12" s="13" t="s">
        <v>47</v>
      </c>
    </row>
    <row r="13" customFormat="false" ht="15" hidden="false" customHeight="false" outlineLevel="0" collapsed="false">
      <c r="A13" s="4" t="s">
        <v>13</v>
      </c>
      <c r="B13" s="4" t="s">
        <v>322</v>
      </c>
      <c r="C13" s="4" t="s">
        <v>321</v>
      </c>
      <c r="D13" s="4" t="s">
        <v>300</v>
      </c>
      <c r="E13" s="4" t="s">
        <v>305</v>
      </c>
      <c r="F13" s="4" t="s">
        <v>306</v>
      </c>
      <c r="G13" s="4" t="s">
        <v>303</v>
      </c>
      <c r="H13" s="13" t="s">
        <v>47</v>
      </c>
    </row>
    <row r="14" customFormat="false" ht="15" hidden="false" customHeight="false" outlineLevel="0" collapsed="false">
      <c r="A14" s="4" t="s">
        <v>13</v>
      </c>
      <c r="B14" s="4" t="s">
        <v>323</v>
      </c>
      <c r="C14" s="4" t="s">
        <v>321</v>
      </c>
      <c r="D14" s="4" t="s">
        <v>308</v>
      </c>
      <c r="E14" s="4" t="s">
        <v>309</v>
      </c>
      <c r="F14" s="4" t="s">
        <v>310</v>
      </c>
      <c r="G14" s="4" t="s">
        <v>311</v>
      </c>
      <c r="H14" s="6" t="s">
        <v>11</v>
      </c>
    </row>
    <row r="15" customFormat="false" ht="15" hidden="false" customHeight="false" outlineLevel="0" collapsed="false">
      <c r="A15" s="4" t="s">
        <v>13</v>
      </c>
      <c r="B15" s="4" t="s">
        <v>324</v>
      </c>
      <c r="C15" s="4" t="s">
        <v>321</v>
      </c>
      <c r="D15" s="4" t="s">
        <v>308</v>
      </c>
      <c r="E15" s="4" t="s">
        <v>313</v>
      </c>
      <c r="F15" s="4" t="s">
        <v>314</v>
      </c>
      <c r="G15" s="4" t="s">
        <v>303</v>
      </c>
      <c r="H15" s="13" t="s">
        <v>47</v>
      </c>
    </row>
    <row r="16" customFormat="false" ht="15" hidden="false" customHeight="false" outlineLevel="0" collapsed="false">
      <c r="A16" s="4" t="s">
        <v>13</v>
      </c>
      <c r="B16" s="4" t="s">
        <v>325</v>
      </c>
      <c r="C16" s="4" t="s">
        <v>321</v>
      </c>
      <c r="D16" s="4" t="s">
        <v>316</v>
      </c>
      <c r="E16" s="4" t="s">
        <v>317</v>
      </c>
      <c r="F16" s="4" t="s">
        <v>310</v>
      </c>
      <c r="G16" s="4" t="s">
        <v>311</v>
      </c>
      <c r="H16" s="6" t="s">
        <v>11</v>
      </c>
    </row>
    <row r="17" customFormat="false" ht="15" hidden="false" customHeight="false" outlineLevel="0" collapsed="false">
      <c r="A17" s="4" t="s">
        <v>13</v>
      </c>
      <c r="B17" s="4" t="s">
        <v>326</v>
      </c>
      <c r="C17" s="4" t="s">
        <v>321</v>
      </c>
      <c r="D17" s="4" t="s">
        <v>316</v>
      </c>
      <c r="E17" s="4" t="s">
        <v>319</v>
      </c>
      <c r="F17" s="4" t="s">
        <v>314</v>
      </c>
      <c r="G17" s="4" t="s">
        <v>303</v>
      </c>
      <c r="H17" s="13" t="s">
        <v>47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9.7" hidden="false" customHeight="false" outlineLevel="0" collapsed="false">
      <c r="A1" s="1" t="s">
        <v>327</v>
      </c>
    </row>
    <row r="2" customFormat="false" ht="15" hidden="false" customHeight="false" outlineLevel="0" collapsed="false">
      <c r="A2" s="2" t="s">
        <v>328</v>
      </c>
    </row>
    <row r="4" customFormat="false" ht="15" hidden="false" customHeight="false" outlineLevel="0" collapsed="false">
      <c r="A4" s="3" t="s">
        <v>329</v>
      </c>
      <c r="B4" s="3" t="s">
        <v>330</v>
      </c>
      <c r="C4" s="3" t="s">
        <v>331</v>
      </c>
      <c r="D4" s="3" t="s">
        <v>332</v>
      </c>
    </row>
    <row r="5" customFormat="false" ht="15" hidden="false" customHeight="false" outlineLevel="0" collapsed="false">
      <c r="A5" s="4" t="n">
        <v>1</v>
      </c>
      <c r="B5" s="4" t="s">
        <v>333</v>
      </c>
      <c r="C5" s="4" t="s">
        <v>334</v>
      </c>
      <c r="D5" s="4" t="s">
        <v>335</v>
      </c>
    </row>
    <row r="6" customFormat="false" ht="35.05" hidden="false" customHeight="false" outlineLevel="0" collapsed="false">
      <c r="A6" s="4" t="n">
        <v>2</v>
      </c>
      <c r="B6" s="4" t="s">
        <v>336</v>
      </c>
      <c r="C6" s="4" t="s">
        <v>337</v>
      </c>
      <c r="D6" s="4" t="s">
        <v>338</v>
      </c>
    </row>
    <row r="7" customFormat="false" ht="23.85" hidden="false" customHeight="false" outlineLevel="0" collapsed="false">
      <c r="A7" s="4" t="n">
        <v>3</v>
      </c>
      <c r="B7" s="4" t="s">
        <v>339</v>
      </c>
      <c r="C7" s="4" t="s">
        <v>340</v>
      </c>
      <c r="D7" s="4" t="s">
        <v>341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80"/>
    <col collapsed="false" customWidth="true" hidden="false" outlineLevel="0" max="4" min="4" style="0" width="8"/>
  </cols>
  <sheetData>
    <row r="1" customFormat="false" ht="19.7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3" t="s">
        <v>344</v>
      </c>
      <c r="B4" s="3" t="s">
        <v>5</v>
      </c>
      <c r="C4" s="3" t="s">
        <v>345</v>
      </c>
      <c r="D4" s="3" t="s">
        <v>346</v>
      </c>
    </row>
    <row r="5" customFormat="false" ht="15" hidden="false" customHeight="false" outlineLevel="0" collapsed="false">
      <c r="A5" s="4" t="s">
        <v>78</v>
      </c>
      <c r="B5" s="4" t="s">
        <v>347</v>
      </c>
      <c r="C5" s="4" t="s">
        <v>348</v>
      </c>
      <c r="D5" s="5" t="s">
        <v>8</v>
      </c>
    </row>
    <row r="6" customFormat="false" ht="15" hidden="false" customHeight="false" outlineLevel="0" collapsed="false">
      <c r="A6" s="4" t="s">
        <v>64</v>
      </c>
      <c r="B6" s="4" t="s">
        <v>349</v>
      </c>
      <c r="C6" s="4" t="s">
        <v>350</v>
      </c>
      <c r="D6" s="5" t="s">
        <v>8</v>
      </c>
    </row>
    <row r="7" customFormat="false" ht="23.85" hidden="false" customHeight="false" outlineLevel="0" collapsed="false">
      <c r="A7" s="4" t="s">
        <v>167</v>
      </c>
      <c r="B7" s="4" t="s">
        <v>351</v>
      </c>
      <c r="C7" s="4" t="s">
        <v>352</v>
      </c>
      <c r="D7" s="12" t="s">
        <v>43</v>
      </c>
    </row>
    <row r="8" customFormat="false" ht="15" hidden="false" customHeight="false" outlineLevel="0" collapsed="false">
      <c r="A8" s="4" t="s">
        <v>85</v>
      </c>
      <c r="B8" s="4" t="s">
        <v>353</v>
      </c>
      <c r="C8" s="4" t="s">
        <v>354</v>
      </c>
      <c r="D8" s="12" t="s">
        <v>43</v>
      </c>
    </row>
    <row r="9" customFormat="false" ht="23.85" hidden="false" customHeight="false" outlineLevel="0" collapsed="false">
      <c r="A9" s="4" t="s">
        <v>20</v>
      </c>
      <c r="B9" s="4" t="s">
        <v>355</v>
      </c>
      <c r="C9" s="4" t="s">
        <v>356</v>
      </c>
      <c r="D9" s="5" t="s">
        <v>8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357</v>
      </c>
    </row>
    <row r="2" customFormat="false" ht="15" hidden="false" customHeight="false" outlineLevel="0" collapsed="false">
      <c r="A2" s="2" t="s">
        <v>358</v>
      </c>
    </row>
    <row r="4" customFormat="false" ht="15" hidden="false" customHeight="false" outlineLevel="0" collapsed="false">
      <c r="A4" s="25" t="s">
        <v>359</v>
      </c>
    </row>
    <row r="5" customFormat="false" ht="15" hidden="false" customHeight="false" outlineLevel="0" collapsed="false">
      <c r="A5" s="25" t="s">
        <v>360</v>
      </c>
    </row>
    <row r="6" customFormat="false" ht="15" hidden="false" customHeight="false" outlineLevel="0" collapsed="false">
      <c r="A6" s="25" t="s">
        <v>361</v>
      </c>
    </row>
    <row r="7" customFormat="false" ht="15" hidden="false" customHeight="false" outlineLevel="0" collapsed="false">
      <c r="A7" s="25" t="s">
        <v>362</v>
      </c>
    </row>
    <row r="8" customFormat="false" ht="15" hidden="false" customHeight="false" outlineLevel="0" collapsed="false">
      <c r="A8" s="25" t="s">
        <v>363</v>
      </c>
    </row>
    <row r="9" customFormat="false" ht="15" hidden="false" customHeight="false" outlineLevel="0" collapsed="false">
      <c r="A9" s="25" t="s">
        <v>364</v>
      </c>
    </row>
    <row r="10" customFormat="false" ht="15" hidden="false" customHeight="false" outlineLevel="0" collapsed="false">
      <c r="A10" s="25" t="s">
        <v>365</v>
      </c>
    </row>
    <row r="11" customFormat="false" ht="15" hidden="false" customHeight="false" outlineLevel="0" collapsed="false">
      <c r="A11" s="25" t="s">
        <v>366</v>
      </c>
    </row>
    <row r="12" customFormat="false" ht="15" hidden="false" customHeight="false" outlineLevel="0" collapsed="false">
      <c r="A12" s="25" t="s">
        <v>367</v>
      </c>
    </row>
    <row r="13" customFormat="false" ht="15" hidden="false" customHeight="false" outlineLevel="0" collapsed="false">
      <c r="A13" s="25" t="s">
        <v>368</v>
      </c>
    </row>
    <row r="14" customFormat="false" ht="15" hidden="false" customHeight="false" outlineLevel="0" collapsed="false">
      <c r="A14" s="25" t="s">
        <v>369</v>
      </c>
    </row>
    <row r="15" customFormat="false" ht="15" hidden="false" customHeight="false" outlineLevel="0" collapsed="false">
      <c r="A15" s="25" t="s">
        <v>370</v>
      </c>
    </row>
    <row r="16" customFormat="false" ht="15" hidden="false" customHeight="false" outlineLevel="0" collapsed="false">
      <c r="A16" s="25" t="s">
        <v>371</v>
      </c>
    </row>
    <row r="17" customFormat="false" ht="15" hidden="false" customHeight="false" outlineLevel="0" collapsed="false">
      <c r="A17" s="25" t="s">
        <v>372</v>
      </c>
    </row>
    <row r="18" customFormat="false" ht="15" hidden="false" customHeight="false" outlineLevel="0" collapsed="false">
      <c r="A18" s="25" t="s">
        <v>373</v>
      </c>
    </row>
    <row r="19" customFormat="false" ht="15" hidden="false" customHeight="false" outlineLevel="0" collapsed="false">
      <c r="A19" s="25" t="s">
        <v>374</v>
      </c>
    </row>
    <row r="20" customFormat="false" ht="15" hidden="false" customHeight="false" outlineLevel="0" collapsed="false">
      <c r="A20" s="25" t="s">
        <v>375</v>
      </c>
    </row>
    <row r="21" customFormat="false" ht="15" hidden="false" customHeight="false" outlineLevel="0" collapsed="false">
      <c r="A21" s="25" t="s">
        <v>376</v>
      </c>
    </row>
    <row r="22" customFormat="false" ht="15" hidden="false" customHeight="false" outlineLevel="0" collapsed="false">
      <c r="A22" s="25" t="s">
        <v>370</v>
      </c>
    </row>
    <row r="23" customFormat="false" ht="15" hidden="false" customHeight="false" outlineLevel="0" collapsed="false">
      <c r="A23" s="25" t="s">
        <v>377</v>
      </c>
    </row>
    <row r="24" customFormat="false" ht="15" hidden="false" customHeight="false" outlineLevel="0" collapsed="false">
      <c r="A24" s="25" t="s">
        <v>372</v>
      </c>
    </row>
    <row r="25" customFormat="false" ht="15" hidden="false" customHeight="false" outlineLevel="0" collapsed="false">
      <c r="A25" s="25" t="s">
        <v>373</v>
      </c>
    </row>
    <row r="26" customFormat="false" ht="15" hidden="false" customHeight="false" outlineLevel="0" collapsed="false">
      <c r="A26" s="25" t="s">
        <v>378</v>
      </c>
    </row>
    <row r="27" customFormat="false" ht="15" hidden="false" customHeight="false" outlineLevel="0" collapsed="false">
      <c r="A27" s="25" t="s">
        <v>379</v>
      </c>
    </row>
    <row r="28" customFormat="false" ht="15" hidden="false" customHeight="false" outlineLevel="0" collapsed="false">
      <c r="A28" s="25" t="s">
        <v>380</v>
      </c>
    </row>
    <row r="29" customFormat="false" ht="15" hidden="false" customHeight="false" outlineLevel="0" collapsed="false">
      <c r="A29" s="25" t="s">
        <v>370</v>
      </c>
    </row>
    <row r="30" customFormat="false" ht="15" hidden="false" customHeight="false" outlineLevel="0" collapsed="false">
      <c r="A30" s="25" t="s">
        <v>381</v>
      </c>
    </row>
    <row r="31" customFormat="false" ht="15" hidden="false" customHeight="false" outlineLevel="0" collapsed="false">
      <c r="A31" s="25" t="s">
        <v>372</v>
      </c>
    </row>
    <row r="32" customFormat="false" ht="15" hidden="false" customHeight="false" outlineLevel="0" collapsed="false">
      <c r="A32" s="25" t="s">
        <v>373</v>
      </c>
    </row>
    <row r="33" customFormat="false" ht="15" hidden="false" customHeight="false" outlineLevel="0" collapsed="false">
      <c r="A33" s="25" t="s">
        <v>378</v>
      </c>
    </row>
    <row r="34" customFormat="false" ht="15" hidden="false" customHeight="false" outlineLevel="0" collapsed="false">
      <c r="A34" s="25" t="s">
        <v>379</v>
      </c>
    </row>
    <row r="35" customFormat="false" ht="15" hidden="false" customHeight="false" outlineLevel="0" collapsed="false">
      <c r="A35" s="25" t="s">
        <v>382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&amp;C&amp;8&amp;F  |  &amp;A  | 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2026-09-26T03:22:39Z</dcterms:created>
  <dc:creator>openpyxl</dc:creator>
  <dc:description/>
  <dc:language>en-US</dc:language>
  <cp:lastModifiedBy/>
  <dcterms:modified xsi:type="dcterms:W3CDTF">2026-09-26T03:22:39Z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