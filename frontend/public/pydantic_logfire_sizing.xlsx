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<sst xmlns="http://schemas.openxmlformats.org/spreadsheetml/2006/main" count="245" uniqueCount="168">
  <si>
    <t xml:space="preserve">Pydantic Logfire (Self-Hosted) Sizing Sheet</t>
  </si>
  <si>
    <t xml:space="preserve">Edit the yellow input cells; object storage, local SSD scratch, ingest/query pods, Postgres and cluster totals update automatically. Self-hosted Logfire is a Pydantic Enterprise offering (private images) - telemetry lives in object storage, NOT Postgres.</t>
  </si>
  <si>
    <t xml:space="preserve">1  ·  INPUTS</t>
  </si>
  <si>
    <t xml:space="preserve">Parameter</t>
  </si>
  <si>
    <t xml:space="preserve">Value</t>
  </si>
  <si>
    <t xml:space="preserve">Unit</t>
  </si>
  <si>
    <t xml:space="preserve">Basis / Notes</t>
  </si>
  <si>
    <t xml:space="preserve">Peak spans / sec</t>
  </si>
  <si>
    <t xml:space="preserve">spans/s</t>
  </si>
  <si>
    <t xml:space="preserve">Peak trace-span ingest rate across all instrumented services (OTLP).</t>
  </si>
  <si>
    <t xml:space="preserve">Peak log records / sec</t>
  </si>
  <si>
    <t xml:space="preserve">logs/s</t>
  </si>
  <si>
    <t xml:space="preserve">Structured log records/sec. In Logfire logs are spans too; sized separately here.</t>
  </si>
  <si>
    <t xml:space="preserve">Peak metric data points / sec</t>
  </si>
  <si>
    <t xml:space="preserve">points/s</t>
  </si>
  <si>
    <t xml:space="preserve">OTLP metric sample points/sec.</t>
  </si>
  <si>
    <t xml:space="preserve">Avg bytes / span (uncompressed)</t>
  </si>
  <si>
    <t xml:space="preserve">bytes</t>
  </si>
  <si>
    <t xml:space="preserve">Serialized span incl. attributes, resource, links. 800-2000 typical; heavy attributes push higher.</t>
  </si>
  <si>
    <t xml:space="preserve">Avg bytes / log record</t>
  </si>
  <si>
    <t xml:space="preserve">Serialized log record incl. attributes.</t>
  </si>
  <si>
    <t xml:space="preserve">Avg bytes / metric point</t>
  </si>
  <si>
    <t xml:space="preserve">Metric point incl. labels / exemplars.</t>
  </si>
  <si>
    <t xml:space="preserve">Peak-to-average ratio</t>
  </si>
  <si>
    <t xml:space="preserve">x</t>
  </si>
  <si>
    <t xml:space="preserve">Peak/sec / daily-average/sec. Daily volume derives from the average, not the peak.</t>
  </si>
  <si>
    <t xml:space="preserve">Compression ratio (columnar + zstd)</t>
  </si>
  <si>
    <t xml:space="preserve">Uncompressed -&gt; Parquet/columnar+compression in object store. 5-12x typical; VERIFY on a real sample.</t>
  </si>
  <si>
    <t xml:space="preserve">Retention period</t>
  </si>
  <si>
    <t xml:space="preserve">days</t>
  </si>
  <si>
    <t xml:space="preserve">How long telemetry stays queryable before expiry / deletion.</t>
  </si>
  <si>
    <t xml:space="preserve">Peak analytical QPS</t>
  </si>
  <si>
    <t xml:space="preserve">QPS</t>
  </si>
  <si>
    <t xml:space="preserve">Peak query rate against the FusionFire query API (dashboards + explore).</t>
  </si>
  <si>
    <t xml:space="preserve">HA minimum replicas (critical path)</t>
  </si>
  <si>
    <t xml:space="preserve">replicas</t>
  </si>
  <si>
    <t xml:space="preserve">Std preset floor for ingest/query/edge. tiny=1, small=2, standard=3.</t>
  </si>
  <si>
    <t xml:space="preserve">Local SSD scratch floor</t>
  </si>
  <si>
    <t xml:space="preserve">GB</t>
  </si>
  <si>
    <t xml:space="preserve">Hard vendor minimum: ingest + compaction + cache scratch. Never size below this.</t>
  </si>
  <si>
    <t xml:space="preserve">Ingest pod throughput</t>
  </si>
  <si>
    <t xml:space="preserve">events/s/pod</t>
  </si>
  <si>
    <t xml:space="preserve">Sustained OTLP events/pod (logfire-ff-ingest). Vendor autoscales 6-&gt;24. Larger spans reduce this.</t>
  </si>
  <si>
    <t xml:space="preserve">Ingest pod vCPU</t>
  </si>
  <si>
    <t xml:space="preserve">cores</t>
  </si>
  <si>
    <t xml:space="preserve">logfire-ff-ingest recommended prod value.</t>
  </si>
  <si>
    <t xml:space="preserve">Ingest pod RAM</t>
  </si>
  <si>
    <t xml:space="preserve">Query pod vCPU</t>
  </si>
  <si>
    <t xml:space="preserve">logfire-ff-query-api recommended prod value.</t>
  </si>
  <si>
    <t xml:space="preserve">Query pod RAM</t>
  </si>
  <si>
    <t xml:space="preserve">Query pod QPS</t>
  </si>
  <si>
    <t xml:space="preserve">QPS/pod</t>
  </si>
  <si>
    <t xml:space="preserve">Sustained analytical QPS per query-api pod. Vendor autoscales 2-&gt;8.</t>
  </si>
  <si>
    <t xml:space="preserve">Cache pods</t>
  </si>
  <si>
    <t xml:space="preserve">pods</t>
  </si>
  <si>
    <t xml:space="preserve">logfire-ff-cache replica count.</t>
  </si>
  <si>
    <t xml:space="preserve">Cache storage / pod</t>
  </si>
  <si>
    <t xml:space="preserve">logfire-ff-cache cacheStorage (local SSD).</t>
  </si>
  <si>
    <t xml:space="preserve">Cache/worker pod vCPU (each)</t>
  </si>
  <si>
    <t xml:space="preserve">cache / compaction / maintenance worker recommended vCPU.</t>
  </si>
  <si>
    <t xml:space="preserve">Cache/worker pod RAM (each)</t>
  </si>
  <si>
    <t xml:space="preserve">cache / compaction / maintenance worker recommended RAM.</t>
  </si>
  <si>
    <t xml:space="preserve">Compaction + maintenance workers</t>
  </si>
  <si>
    <t xml:space="preserve">2 compaction + 2 maintenance (vendor recommended).</t>
  </si>
  <si>
    <t xml:space="preserve">Fixed support vCPU (aggregate)</t>
  </si>
  <si>
    <t xml:space="preserve">backend x2, crud, dex, redis, conhash-cache x2, otel-collector, edge/frontend.</t>
  </si>
  <si>
    <t xml:space="preserve">Fixed support RAM (aggregate)</t>
  </si>
  <si>
    <t xml:space="preserve">Aggregate allowance for the fixed support pods above.</t>
  </si>
  <si>
    <t xml:space="preserve">Postgres vCPU</t>
  </si>
  <si>
    <t xml:space="preserve">Vendor starting size. Metadata only (no telemetry).</t>
  </si>
  <si>
    <t xml:space="preserve">Postgres RAM</t>
  </si>
  <si>
    <t xml:space="preserve">Vendor starting size. Scales with dashboards + object-file count, not span volume.</t>
  </si>
  <si>
    <t xml:space="preserve">Reference node usable vCPU</t>
  </si>
  <si>
    <t xml:space="preserve">Xeon-class worker node; leave headroom for K8s system pods + DaemonSets.</t>
  </si>
  <si>
    <t xml:space="preserve">Reference node usable RAM</t>
  </si>
  <si>
    <t xml:space="preserve">Xeon-class worker node usable RAM.</t>
  </si>
  <si>
    <t xml:space="preserve">2  ·  OBJECT STORAGE (TELEMETRY) SIZING</t>
  </si>
  <si>
    <t xml:space="preserve">Avg spans / sec</t>
  </si>
  <si>
    <t xml:space="preserve">Peak / peak-to-average.</t>
  </si>
  <si>
    <t xml:space="preserve">Avg logs / sec</t>
  </si>
  <si>
    <t xml:space="preserve">Avg metric pts / sec</t>
  </si>
  <si>
    <t xml:space="preserve">Uncompressed telemetry / day</t>
  </si>
  <si>
    <t xml:space="preserve">(spans*bytes + logs*bytes + metrics*bytes) * 86400s, at average rate.</t>
  </si>
  <si>
    <t xml:space="preserve">Compressed telemetry / day</t>
  </si>
  <si>
    <t xml:space="preserve">Uncompressed/day / compression ratio.</t>
  </si>
  <si>
    <t xml:space="preserve">Retained object storage (raw)</t>
  </si>
  <si>
    <t xml:space="preserve">Compressed/day * retention days.</t>
  </si>
  <si>
    <t xml:space="preserve">Object storage + 30% ops headroom</t>
  </si>
  <si>
    <t xml:space="preserve">Headroom for compaction churn, in-flight rewrites, growth.</t>
  </si>
  <si>
    <t xml:space="preserve">Recommended object storage</t>
  </si>
  <si>
    <t xml:space="preserve">Snapped up to the nearest TB. Provider replicates internally - do NOT add a replication factor.</t>
  </si>
  <si>
    <t xml:space="preserve">TB</t>
  </si>
  <si>
    <t xml:space="preserve">Same figure in TB.</t>
  </si>
  <si>
    <t xml:space="preserve">3  ·  LOCAL SSD SCRATCH &amp; INGEST TIER</t>
  </si>
  <si>
    <t xml:space="preserve">Total ingest events / sec (peak)</t>
  </si>
  <si>
    <t xml:space="preserve">events/s</t>
  </si>
  <si>
    <t xml:space="preserve">All telemetry streams pass through the ingest tier.</t>
  </si>
  <si>
    <t xml:space="preserve">Ingest pods by load</t>
  </si>
  <si>
    <t xml:space="preserve">Peak events/sec / per-pod throughput.</t>
  </si>
  <si>
    <t xml:space="preserve">Recommended ingest pods</t>
  </si>
  <si>
    <t xml:space="preserve">Load, floored at 2x HA-min (matches vendor autoscale floor of 6 at HA-min 3).</t>
  </si>
  <si>
    <t xml:space="preserve">Ingest tier vCPU</t>
  </si>
  <si>
    <t xml:space="preserve">Ingest pods x per-pod vCPU.</t>
  </si>
  <si>
    <t xml:space="preserve">Ingest tier RAM</t>
  </si>
  <si>
    <t xml:space="preserve">Ingest pods x per-pod RAM.</t>
  </si>
  <si>
    <t xml:space="preserve">Ingest scratch (PVC)</t>
  </si>
  <si>
    <t xml:space="preserve">~16 GB local PVC per ingest pod (vendor volumeClaimTemplate).</t>
  </si>
  <si>
    <t xml:space="preserve">Cache storage total</t>
  </si>
  <si>
    <t xml:space="preserve">Cache pods x cacheStorage.</t>
  </si>
  <si>
    <t xml:space="preserve">Compaction scratch</t>
  </si>
  <si>
    <t xml:space="preserve">~32 GB working set per compaction/maintenance worker.</t>
  </si>
  <si>
    <t xml:space="preserve">Modeled local SSD</t>
  </si>
  <si>
    <t xml:space="preserve">Ingest PVC + cache storage + compaction working set.</t>
  </si>
  <si>
    <t xml:space="preserve">Recommended local SSD scratch</t>
  </si>
  <si>
    <t xml:space="preserve">Modeled figure or vendor floor, whichever is larger, snapped to 128 GB.</t>
  </si>
  <si>
    <t xml:space="preserve">4  ·  QUERY &amp; WORKER TIERS</t>
  </si>
  <si>
    <t xml:space="preserve">Query pods by load</t>
  </si>
  <si>
    <t xml:space="preserve">Peak QPS / per-pod QPS.</t>
  </si>
  <si>
    <t xml:space="preserve">Recommended query pods</t>
  </si>
  <si>
    <t xml:space="preserve">Load, floored at HA-min. Vendor autoscales 2-&gt;8.</t>
  </si>
  <si>
    <t xml:space="preserve">Query tier vCPU</t>
  </si>
  <si>
    <t xml:space="preserve">Query pods x per-pod vCPU.</t>
  </si>
  <si>
    <t xml:space="preserve">Query tier RAM</t>
  </si>
  <si>
    <t xml:space="preserve">Query pods x per-pod RAM.</t>
  </si>
  <si>
    <t xml:space="preserve">Cache tier vCPU</t>
  </si>
  <si>
    <t xml:space="preserve">Cache pods x per-pod vCPU.</t>
  </si>
  <si>
    <t xml:space="preserve">Cache tier RAM</t>
  </si>
  <si>
    <t xml:space="preserve">Cache pods x per-pod RAM.</t>
  </si>
  <si>
    <t xml:space="preserve">Worker tier vCPU</t>
  </si>
  <si>
    <t xml:space="preserve">Compaction+maintenance workers x per-pod vCPU.</t>
  </si>
  <si>
    <t xml:space="preserve">Worker tier RAM</t>
  </si>
  <si>
    <t xml:space="preserve">Compaction+maintenance workers x per-pod RAM.</t>
  </si>
  <si>
    <t xml:space="preserve">5  ·  RECOMMENDED CLUSTER (TOTALS)</t>
  </si>
  <si>
    <t xml:space="preserve">Ingest pods</t>
  </si>
  <si>
    <t xml:space="preserve">Write-path autoscaling tier.</t>
  </si>
  <si>
    <t xml:space="preserve">Query pods</t>
  </si>
  <si>
    <t xml:space="preserve">Read-path autoscaling tier.</t>
  </si>
  <si>
    <t xml:space="preserve">FusionFire byte cache.</t>
  </si>
  <si>
    <t xml:space="preserve">Rewrite small ingest files into columnar objects.</t>
  </si>
  <si>
    <t xml:space="preserve">Total application vCPU</t>
  </si>
  <si>
    <t xml:space="preserve">Ingest + query + cache + workers + fixed support pods.</t>
  </si>
  <si>
    <t xml:space="preserve">Total application RAM</t>
  </si>
  <si>
    <t xml:space="preserve">Nodes by vCPU</t>
  </si>
  <si>
    <t xml:space="preserve">nodes</t>
  </si>
  <si>
    <t xml:space="preserve">Application vCPU / usable node vCPU.</t>
  </si>
  <si>
    <t xml:space="preserve">Nodes by RAM</t>
  </si>
  <si>
    <t xml:space="preserve">Application RAM / usable node RAM.</t>
  </si>
  <si>
    <t xml:space="preserve">Recommended worker nodes</t>
  </si>
  <si>
    <t xml:space="preserve">Max of vCPU-bound, RAM-bound, and HA minimum. Excludes Postgres + object store.</t>
  </si>
  <si>
    <t xml:space="preserve">Object storage capacity</t>
  </si>
  <si>
    <t xml:space="preserve">External S3/GCS/Azure. Provider-replicated.</t>
  </si>
  <si>
    <t xml:space="preserve">Local SSD scratch (total)</t>
  </si>
  <si>
    <t xml:space="preserve">Fast NVMe across ingest/cache/worker nodes.</t>
  </si>
  <si>
    <t xml:space="preserve">Postgres (vCPU / RAM)</t>
  </si>
  <si>
    <t xml:space="preserve">vCPU</t>
  </si>
  <si>
    <t xml:space="preserve">Metadata store. Pair with the RAM below.</t>
  </si>
  <si>
    <t xml:space="preserve">Size with pg_oltp_sizing.xlsx if dashboards/file-count grow large.</t>
  </si>
  <si>
    <t xml:space="preserve">6  ·  SIZING NOTES &amp; LEVERS</t>
  </si>
  <si>
    <t xml:space="preserve">•  Object storage is the dominant capacity cost and scales linearly with retention x (1/compression). Cut retention or add SDK sampling to bend the curve.</t>
  </si>
  <si>
    <t xml:space="preserve">•  Telemetry NEVER lands in Postgres. Postgres holds org/project/dashboard metadata + object-file tracking; it starts at 4 vCPU / 16 GB and grows with dashboards and file count, not span volume.</t>
  </si>
  <si>
    <t xml:space="preserve">•  Ingest (logfire-ff-ingest) is the write-path knob - vendor autoscales 6-&gt;24 pods. It is parse/CPU-bound on span size, so larger attribute payloads lower per-pod events/sec.</t>
  </si>
  <si>
    <t xml:space="preserve">•  Query API + FusionFire cache are the read-path knobs. Heavy dashboard / auto-refresh load scales query pods (2-&gt;8) and cache storage, not ingest.</t>
  </si>
  <si>
    <t xml:space="preserve">•  Compaction / maintenance workers rewrite many small ingest files into larger columnar objects. Under-provisioning them degrades query latency even when ingest looks healthy.</t>
  </si>
  <si>
    <t xml:space="preserve">•  Local SSD scratch has a HARD vendor floor of &gt;=512 GB (ingest buffering, compaction, cache). Never size below it regardless of the modeled figure.</t>
  </si>
  <si>
    <t xml:space="preserve">•  Object storage already replicates internally (S3/GCS/Azure) - do NOT apply a replication multiplier; provider durability covers copies.</t>
  </si>
  <si>
    <t xml:space="preserve">•  Compression ratio (default 8x) is the single biggest storage lever and is workload-dependent. Measure on a real span sample before committing capacity.</t>
  </si>
  <si>
    <t xml:space="preserve">•  Redis backs live-query streaming + autocomplete; small and folded into the fixed support-pod allowance.</t>
  </si>
  <si>
    <t xml:space="preserve">•  VERIFY before external use: self-hosted Logfire is a Pydantic Enterprise offering requiring a commercial contract + private image pull secrets. Per-pod footprints, autoscale envelopes and presets (tiny/small/standard) change between Helm chart versions - confirm against the shipped values.yaml.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</si>
</sst>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D9D9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44546A"/>
      </patternFill>
    </fill>
    <fill>
      <patternFill patternType="solid">
        <fgColor rgb="FF44546A"/>
        <bgColor rgb="FF59595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6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20000</v>
      </c>
      <c r="C6" s="7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v>5000</v>
      </c>
      <c r="C7" s="7" t="s">
        <v>11</v>
      </c>
      <c r="D7" s="7" t="s">
        <v>12</v>
      </c>
    </row>
    <row r="8" customFormat="false" ht="15" hidden="false" customHeight="false" outlineLevel="0" collapsed="false">
      <c r="A8" s="5" t="s">
        <v>13</v>
      </c>
      <c r="B8" s="6" t="n">
        <v>2000</v>
      </c>
      <c r="C8" s="7" t="s">
        <v>14</v>
      </c>
      <c r="D8" s="7" t="s">
        <v>15</v>
      </c>
    </row>
    <row r="9" customFormat="false" ht="15" hidden="false" customHeight="false" outlineLevel="0" collapsed="false">
      <c r="A9" s="5" t="s">
        <v>16</v>
      </c>
      <c r="B9" s="6" t="n">
        <v>1200</v>
      </c>
      <c r="C9" s="7" t="s">
        <v>17</v>
      </c>
      <c r="D9" s="7" t="s">
        <v>18</v>
      </c>
    </row>
    <row r="10" customFormat="false" ht="15" hidden="false" customHeight="false" outlineLevel="0" collapsed="false">
      <c r="A10" s="5" t="s">
        <v>19</v>
      </c>
      <c r="B10" s="6" t="n">
        <v>600</v>
      </c>
      <c r="C10" s="7" t="s">
        <v>17</v>
      </c>
      <c r="D10" s="7" t="s">
        <v>20</v>
      </c>
    </row>
    <row r="11" customFormat="false" ht="15" hidden="false" customHeight="false" outlineLevel="0" collapsed="false">
      <c r="A11" s="5" t="s">
        <v>21</v>
      </c>
      <c r="B11" s="6" t="n">
        <v>120</v>
      </c>
      <c r="C11" s="7" t="s">
        <v>17</v>
      </c>
      <c r="D11" s="7" t="s">
        <v>22</v>
      </c>
    </row>
    <row r="12" customFormat="false" ht="15" hidden="false" customHeight="false" outlineLevel="0" collapsed="false">
      <c r="A12" s="5" t="s">
        <v>23</v>
      </c>
      <c r="B12" s="8" t="n">
        <v>3</v>
      </c>
      <c r="C12" s="7" t="s">
        <v>24</v>
      </c>
      <c r="D12" s="7" t="s">
        <v>25</v>
      </c>
    </row>
    <row r="13" customFormat="false" ht="15" hidden="false" customHeight="false" outlineLevel="0" collapsed="false">
      <c r="A13" s="5" t="s">
        <v>26</v>
      </c>
      <c r="B13" s="8" t="n">
        <v>8</v>
      </c>
      <c r="C13" s="7" t="s">
        <v>24</v>
      </c>
      <c r="D13" s="7" t="s">
        <v>27</v>
      </c>
    </row>
    <row r="14" customFormat="false" ht="15" hidden="false" customHeight="false" outlineLevel="0" collapsed="false">
      <c r="A14" s="5" t="s">
        <v>28</v>
      </c>
      <c r="B14" s="6" t="n">
        <v>30</v>
      </c>
      <c r="C14" s="7" t="s">
        <v>29</v>
      </c>
      <c r="D14" s="7" t="s">
        <v>30</v>
      </c>
    </row>
    <row r="15" customFormat="false" ht="15" hidden="false" customHeight="false" outlineLevel="0" collapsed="false">
      <c r="A15" s="5" t="s">
        <v>31</v>
      </c>
      <c r="B15" s="6" t="n">
        <v>30</v>
      </c>
      <c r="C15" s="7" t="s">
        <v>32</v>
      </c>
      <c r="D15" s="7" t="s">
        <v>33</v>
      </c>
    </row>
    <row r="16" customFormat="false" ht="15" hidden="false" customHeight="false" outlineLevel="0" collapsed="false">
      <c r="A16" s="5" t="s">
        <v>34</v>
      </c>
      <c r="B16" s="6" t="n">
        <v>3</v>
      </c>
      <c r="C16" s="7" t="s">
        <v>35</v>
      </c>
      <c r="D16" s="7" t="s">
        <v>36</v>
      </c>
    </row>
    <row r="17" customFormat="false" ht="15" hidden="false" customHeight="false" outlineLevel="0" collapsed="false">
      <c r="A17" s="5" t="s">
        <v>37</v>
      </c>
      <c r="B17" s="6" t="n">
        <v>512</v>
      </c>
      <c r="C17" s="7" t="s">
        <v>38</v>
      </c>
      <c r="D17" s="7" t="s">
        <v>39</v>
      </c>
    </row>
    <row r="18" customFormat="false" ht="15" hidden="false" customHeight="false" outlineLevel="0" collapsed="false">
      <c r="A18" s="5" t="s">
        <v>40</v>
      </c>
      <c r="B18" s="6" t="n">
        <v>3000</v>
      </c>
      <c r="C18" s="7" t="s">
        <v>41</v>
      </c>
      <c r="D18" s="7" t="s">
        <v>42</v>
      </c>
    </row>
    <row r="19" customFormat="false" ht="15" hidden="false" customHeight="false" outlineLevel="0" collapsed="false">
      <c r="A19" s="5" t="s">
        <v>43</v>
      </c>
      <c r="B19" s="6" t="n">
        <v>2</v>
      </c>
      <c r="C19" s="7" t="s">
        <v>44</v>
      </c>
      <c r="D19" s="7" t="s">
        <v>45</v>
      </c>
    </row>
    <row r="20" customFormat="false" ht="15" hidden="false" customHeight="false" outlineLevel="0" collapsed="false">
      <c r="A20" s="5" t="s">
        <v>46</v>
      </c>
      <c r="B20" s="6" t="n">
        <v>4</v>
      </c>
      <c r="C20" s="7" t="s">
        <v>38</v>
      </c>
      <c r="D20" s="7" t="s">
        <v>45</v>
      </c>
    </row>
    <row r="21" customFormat="false" ht="15" hidden="false" customHeight="false" outlineLevel="0" collapsed="false">
      <c r="A21" s="5" t="s">
        <v>47</v>
      </c>
      <c r="B21" s="6" t="n">
        <v>2</v>
      </c>
      <c r="C21" s="7" t="s">
        <v>44</v>
      </c>
      <c r="D21" s="7" t="s">
        <v>48</v>
      </c>
    </row>
    <row r="22" customFormat="false" ht="15" hidden="false" customHeight="false" outlineLevel="0" collapsed="false">
      <c r="A22" s="5" t="s">
        <v>49</v>
      </c>
      <c r="B22" s="6" t="n">
        <v>2</v>
      </c>
      <c r="C22" s="7" t="s">
        <v>38</v>
      </c>
      <c r="D22" s="7" t="s">
        <v>48</v>
      </c>
    </row>
    <row r="23" customFormat="false" ht="15" hidden="false" customHeight="false" outlineLevel="0" collapsed="false">
      <c r="A23" s="5" t="s">
        <v>50</v>
      </c>
      <c r="B23" s="6" t="n">
        <v>8</v>
      </c>
      <c r="C23" s="7" t="s">
        <v>51</v>
      </c>
      <c r="D23" s="7" t="s">
        <v>52</v>
      </c>
    </row>
    <row r="24" customFormat="false" ht="15" hidden="false" customHeight="false" outlineLevel="0" collapsed="false">
      <c r="A24" s="5" t="s">
        <v>53</v>
      </c>
      <c r="B24" s="6" t="n">
        <v>2</v>
      </c>
      <c r="C24" s="7" t="s">
        <v>54</v>
      </c>
      <c r="D24" s="7" t="s">
        <v>55</v>
      </c>
    </row>
    <row r="25" customFormat="false" ht="15" hidden="false" customHeight="false" outlineLevel="0" collapsed="false">
      <c r="A25" s="5" t="s">
        <v>56</v>
      </c>
      <c r="B25" s="6" t="n">
        <v>256</v>
      </c>
      <c r="C25" s="7" t="s">
        <v>38</v>
      </c>
      <c r="D25" s="7" t="s">
        <v>57</v>
      </c>
    </row>
    <row r="26" customFormat="false" ht="15" hidden="false" customHeight="false" outlineLevel="0" collapsed="false">
      <c r="A26" s="5" t="s">
        <v>58</v>
      </c>
      <c r="B26" s="6" t="n">
        <v>4</v>
      </c>
      <c r="C26" s="7" t="s">
        <v>44</v>
      </c>
      <c r="D26" s="7" t="s">
        <v>59</v>
      </c>
    </row>
    <row r="27" customFormat="false" ht="15" hidden="false" customHeight="false" outlineLevel="0" collapsed="false">
      <c r="A27" s="5" t="s">
        <v>60</v>
      </c>
      <c r="B27" s="6" t="n">
        <v>8</v>
      </c>
      <c r="C27" s="7" t="s">
        <v>38</v>
      </c>
      <c r="D27" s="7" t="s">
        <v>61</v>
      </c>
    </row>
    <row r="28" customFormat="false" ht="15" hidden="false" customHeight="false" outlineLevel="0" collapsed="false">
      <c r="A28" s="5" t="s">
        <v>62</v>
      </c>
      <c r="B28" s="6" t="n">
        <v>4</v>
      </c>
      <c r="C28" s="7" t="s">
        <v>54</v>
      </c>
      <c r="D28" s="7" t="s">
        <v>63</v>
      </c>
    </row>
    <row r="29" customFormat="false" ht="15" hidden="false" customHeight="false" outlineLevel="0" collapsed="false">
      <c r="A29" s="5" t="s">
        <v>64</v>
      </c>
      <c r="B29" s="6" t="n">
        <v>6</v>
      </c>
      <c r="C29" s="7" t="s">
        <v>44</v>
      </c>
      <c r="D29" s="7" t="s">
        <v>65</v>
      </c>
    </row>
    <row r="30" customFormat="false" ht="15" hidden="false" customHeight="false" outlineLevel="0" collapsed="false">
      <c r="A30" s="5" t="s">
        <v>66</v>
      </c>
      <c r="B30" s="6" t="n">
        <v>10</v>
      </c>
      <c r="C30" s="7" t="s">
        <v>38</v>
      </c>
      <c r="D30" s="7" t="s">
        <v>67</v>
      </c>
    </row>
    <row r="31" customFormat="false" ht="15" hidden="false" customHeight="false" outlineLevel="0" collapsed="false">
      <c r="A31" s="5" t="s">
        <v>68</v>
      </c>
      <c r="B31" s="6" t="n">
        <v>4</v>
      </c>
      <c r="C31" s="7" t="s">
        <v>44</v>
      </c>
      <c r="D31" s="7" t="s">
        <v>69</v>
      </c>
    </row>
    <row r="32" customFormat="false" ht="15" hidden="false" customHeight="false" outlineLevel="0" collapsed="false">
      <c r="A32" s="5" t="s">
        <v>70</v>
      </c>
      <c r="B32" s="6" t="n">
        <v>16</v>
      </c>
      <c r="C32" s="7" t="s">
        <v>38</v>
      </c>
      <c r="D32" s="7" t="s">
        <v>71</v>
      </c>
    </row>
    <row r="33" customFormat="false" ht="15" hidden="false" customHeight="false" outlineLevel="0" collapsed="false">
      <c r="A33" s="5" t="s">
        <v>72</v>
      </c>
      <c r="B33" s="6" t="n">
        <v>64</v>
      </c>
      <c r="C33" s="7" t="s">
        <v>44</v>
      </c>
      <c r="D33" s="7" t="s">
        <v>73</v>
      </c>
    </row>
    <row r="34" customFormat="false" ht="15" hidden="false" customHeight="false" outlineLevel="0" collapsed="false">
      <c r="A34" s="5" t="s">
        <v>74</v>
      </c>
      <c r="B34" s="6" t="n">
        <v>256</v>
      </c>
      <c r="C34" s="7" t="s">
        <v>38</v>
      </c>
      <c r="D34" s="7" t="s">
        <v>75</v>
      </c>
    </row>
    <row r="36" customFormat="false" ht="15" hidden="false" customHeight="false" outlineLevel="0" collapsed="false">
      <c r="A36" s="3" t="s">
        <v>76</v>
      </c>
      <c r="B36" s="3"/>
      <c r="C36" s="3"/>
      <c r="D36" s="3"/>
    </row>
    <row r="37" customFormat="false" ht="15" hidden="false" customHeight="false" outlineLevel="0" collapsed="false">
      <c r="A37" s="4" t="s">
        <v>3</v>
      </c>
      <c r="B37" s="4" t="s">
        <v>4</v>
      </c>
      <c r="C37" s="4" t="s">
        <v>5</v>
      </c>
      <c r="D37" s="4" t="s">
        <v>6</v>
      </c>
    </row>
    <row r="38" customFormat="false" ht="15" hidden="false" customHeight="false" outlineLevel="0" collapsed="false">
      <c r="A38" s="5" t="s">
        <v>77</v>
      </c>
      <c r="B38" s="9" t="n">
        <f aca="false">B6/B12</f>
        <v>6666.66666666667</v>
      </c>
      <c r="C38" s="7" t="s">
        <v>8</v>
      </c>
      <c r="D38" s="7" t="s">
        <v>78</v>
      </c>
    </row>
    <row r="39" customFormat="false" ht="15" hidden="false" customHeight="false" outlineLevel="0" collapsed="false">
      <c r="A39" s="5" t="s">
        <v>79</v>
      </c>
      <c r="B39" s="9" t="n">
        <f aca="false">B7/B12</f>
        <v>1666.66666666667</v>
      </c>
      <c r="C39" s="7" t="s">
        <v>11</v>
      </c>
      <c r="D39" s="7" t="s">
        <v>78</v>
      </c>
    </row>
    <row r="40" customFormat="false" ht="15" hidden="false" customHeight="false" outlineLevel="0" collapsed="false">
      <c r="A40" s="5" t="s">
        <v>80</v>
      </c>
      <c r="B40" s="9" t="n">
        <f aca="false">B8/B12</f>
        <v>666.666666666667</v>
      </c>
      <c r="C40" s="7" t="s">
        <v>14</v>
      </c>
      <c r="D40" s="7" t="s">
        <v>78</v>
      </c>
    </row>
    <row r="41" customFormat="false" ht="15" hidden="false" customHeight="false" outlineLevel="0" collapsed="false">
      <c r="A41" s="5" t="s">
        <v>81</v>
      </c>
      <c r="B41" s="10" t="n">
        <f aca="false">(B38*B9+B39*B10+B40*B11)*86400/1000000000</f>
        <v>784.512</v>
      </c>
      <c r="C41" s="7" t="s">
        <v>38</v>
      </c>
      <c r="D41" s="7" t="s">
        <v>82</v>
      </c>
    </row>
    <row r="42" customFormat="false" ht="15" hidden="false" customHeight="false" outlineLevel="0" collapsed="false">
      <c r="A42" s="5" t="s">
        <v>83</v>
      </c>
      <c r="B42" s="10" t="n">
        <f aca="false">B41/B13</f>
        <v>98.064</v>
      </c>
      <c r="C42" s="7" t="s">
        <v>38</v>
      </c>
      <c r="D42" s="7" t="s">
        <v>84</v>
      </c>
    </row>
    <row r="43" customFormat="false" ht="15" hidden="false" customHeight="false" outlineLevel="0" collapsed="false">
      <c r="A43" s="5" t="s">
        <v>85</v>
      </c>
      <c r="B43" s="10" t="n">
        <f aca="false">B42*B14</f>
        <v>2941.92</v>
      </c>
      <c r="C43" s="7" t="s">
        <v>38</v>
      </c>
      <c r="D43" s="7" t="s">
        <v>86</v>
      </c>
    </row>
    <row r="44" customFormat="false" ht="15" hidden="false" customHeight="false" outlineLevel="0" collapsed="false">
      <c r="A44" s="5" t="s">
        <v>87</v>
      </c>
      <c r="B44" s="10" t="n">
        <f aca="false">B43*1.3</f>
        <v>3824.496</v>
      </c>
      <c r="C44" s="7" t="s">
        <v>38</v>
      </c>
      <c r="D44" s="7" t="s">
        <v>88</v>
      </c>
    </row>
    <row r="45" customFormat="false" ht="15" hidden="false" customHeight="false" outlineLevel="0" collapsed="false">
      <c r="A45" s="5" t="s">
        <v>89</v>
      </c>
      <c r="B45" s="11" t="n">
        <f aca="false">CEILING(B44,1000)</f>
        <v>4000</v>
      </c>
      <c r="C45" s="7" t="s">
        <v>38</v>
      </c>
      <c r="D45" s="7" t="s">
        <v>90</v>
      </c>
    </row>
    <row r="46" customFormat="false" ht="15" hidden="false" customHeight="false" outlineLevel="0" collapsed="false">
      <c r="A46" s="5" t="s">
        <v>89</v>
      </c>
      <c r="B46" s="12" t="n">
        <f aca="false">B45/1000</f>
        <v>4</v>
      </c>
      <c r="C46" s="7" t="s">
        <v>91</v>
      </c>
      <c r="D46" s="7" t="s">
        <v>92</v>
      </c>
    </row>
    <row r="48" customFormat="false" ht="15" hidden="false" customHeight="false" outlineLevel="0" collapsed="false">
      <c r="A48" s="3" t="s">
        <v>93</v>
      </c>
      <c r="B48" s="3"/>
      <c r="C48" s="3"/>
      <c r="D48" s="3"/>
    </row>
    <row r="49" customFormat="false" ht="15" hidden="false" customHeight="false" outlineLevel="0" collapsed="false">
      <c r="A49" s="4" t="s">
        <v>3</v>
      </c>
      <c r="B49" s="4" t="s">
        <v>4</v>
      </c>
      <c r="C49" s="4" t="s">
        <v>5</v>
      </c>
      <c r="D49" s="4" t="s">
        <v>6</v>
      </c>
    </row>
    <row r="50" customFormat="false" ht="15" hidden="false" customHeight="false" outlineLevel="0" collapsed="false">
      <c r="A50" s="5" t="s">
        <v>94</v>
      </c>
      <c r="B50" s="9" t="n">
        <f aca="false">B6+B7+B8</f>
        <v>27000</v>
      </c>
      <c r="C50" s="7" t="s">
        <v>95</v>
      </c>
      <c r="D50" s="7" t="s">
        <v>96</v>
      </c>
    </row>
    <row r="51" customFormat="false" ht="15" hidden="false" customHeight="false" outlineLevel="0" collapsed="false">
      <c r="A51" s="5" t="s">
        <v>97</v>
      </c>
      <c r="B51" s="9" t="n">
        <f aca="false">ROUNDUP(B50/B18,0)</f>
        <v>9</v>
      </c>
      <c r="C51" s="7" t="s">
        <v>54</v>
      </c>
      <c r="D51" s="7" t="s">
        <v>98</v>
      </c>
    </row>
    <row r="52" customFormat="false" ht="15" hidden="false" customHeight="false" outlineLevel="0" collapsed="false">
      <c r="A52" s="5" t="s">
        <v>99</v>
      </c>
      <c r="B52" s="11" t="n">
        <f aca="false">MAX(B51,2*B16)</f>
        <v>9</v>
      </c>
      <c r="C52" s="7" t="s">
        <v>54</v>
      </c>
      <c r="D52" s="7" t="s">
        <v>100</v>
      </c>
    </row>
    <row r="53" customFormat="false" ht="15" hidden="false" customHeight="false" outlineLevel="0" collapsed="false">
      <c r="A53" s="5" t="s">
        <v>101</v>
      </c>
      <c r="B53" s="9" t="n">
        <f aca="false">B52*B19</f>
        <v>18</v>
      </c>
      <c r="C53" s="7" t="s">
        <v>44</v>
      </c>
      <c r="D53" s="7" t="s">
        <v>102</v>
      </c>
    </row>
    <row r="54" customFormat="false" ht="15" hidden="false" customHeight="false" outlineLevel="0" collapsed="false">
      <c r="A54" s="5" t="s">
        <v>103</v>
      </c>
      <c r="B54" s="9" t="n">
        <f aca="false">B52*B20</f>
        <v>36</v>
      </c>
      <c r="C54" s="7" t="s">
        <v>38</v>
      </c>
      <c r="D54" s="7" t="s">
        <v>104</v>
      </c>
    </row>
    <row r="55" customFormat="false" ht="15" hidden="false" customHeight="false" outlineLevel="0" collapsed="false">
      <c r="A55" s="5" t="s">
        <v>105</v>
      </c>
      <c r="B55" s="9" t="n">
        <f aca="false">B52*16</f>
        <v>144</v>
      </c>
      <c r="C55" s="7" t="s">
        <v>38</v>
      </c>
      <c r="D55" s="7" t="s">
        <v>106</v>
      </c>
    </row>
    <row r="56" customFormat="false" ht="15" hidden="false" customHeight="false" outlineLevel="0" collapsed="false">
      <c r="A56" s="5" t="s">
        <v>107</v>
      </c>
      <c r="B56" s="9" t="n">
        <f aca="false">B24*B25</f>
        <v>512</v>
      </c>
      <c r="C56" s="7" t="s">
        <v>38</v>
      </c>
      <c r="D56" s="7" t="s">
        <v>108</v>
      </c>
    </row>
    <row r="57" customFormat="false" ht="15" hidden="false" customHeight="false" outlineLevel="0" collapsed="false">
      <c r="A57" s="5" t="s">
        <v>109</v>
      </c>
      <c r="B57" s="9" t="n">
        <f aca="false">B28*32</f>
        <v>128</v>
      </c>
      <c r="C57" s="7" t="s">
        <v>38</v>
      </c>
      <c r="D57" s="7" t="s">
        <v>110</v>
      </c>
    </row>
    <row r="58" customFormat="false" ht="15" hidden="false" customHeight="false" outlineLevel="0" collapsed="false">
      <c r="A58" s="5" t="s">
        <v>111</v>
      </c>
      <c r="B58" s="9" t="n">
        <f aca="false">B55+B56+B57</f>
        <v>784</v>
      </c>
      <c r="C58" s="7" t="s">
        <v>38</v>
      </c>
      <c r="D58" s="7" t="s">
        <v>112</v>
      </c>
    </row>
    <row r="59" customFormat="false" ht="15" hidden="false" customHeight="false" outlineLevel="0" collapsed="false">
      <c r="A59" s="5" t="s">
        <v>113</v>
      </c>
      <c r="B59" s="11" t="n">
        <f aca="false">MAX(B17,CEILING(B58,128))</f>
        <v>896</v>
      </c>
      <c r="C59" s="7" t="s">
        <v>38</v>
      </c>
      <c r="D59" s="7" t="s">
        <v>114</v>
      </c>
    </row>
    <row r="61" customFormat="false" ht="15" hidden="false" customHeight="false" outlineLevel="0" collapsed="false">
      <c r="A61" s="3" t="s">
        <v>115</v>
      </c>
      <c r="B61" s="3"/>
      <c r="C61" s="3"/>
      <c r="D61" s="3"/>
    </row>
    <row r="62" customFormat="false" ht="15" hidden="false" customHeight="false" outlineLevel="0" collapsed="false">
      <c r="A62" s="4" t="s">
        <v>3</v>
      </c>
      <c r="B62" s="4" t="s">
        <v>4</v>
      </c>
      <c r="C62" s="4" t="s">
        <v>5</v>
      </c>
      <c r="D62" s="4" t="s">
        <v>6</v>
      </c>
    </row>
    <row r="63" customFormat="false" ht="15" hidden="false" customHeight="false" outlineLevel="0" collapsed="false">
      <c r="A63" s="5" t="s">
        <v>116</v>
      </c>
      <c r="B63" s="9" t="n">
        <f aca="false">ROUNDUP(B15/B23,0)</f>
        <v>4</v>
      </c>
      <c r="C63" s="7" t="s">
        <v>54</v>
      </c>
      <c r="D63" s="7" t="s">
        <v>117</v>
      </c>
    </row>
    <row r="64" customFormat="false" ht="15" hidden="false" customHeight="false" outlineLevel="0" collapsed="false">
      <c r="A64" s="5" t="s">
        <v>118</v>
      </c>
      <c r="B64" s="11" t="n">
        <f aca="false">MAX(B63,B16)</f>
        <v>4</v>
      </c>
      <c r="C64" s="7" t="s">
        <v>54</v>
      </c>
      <c r="D64" s="7" t="s">
        <v>119</v>
      </c>
    </row>
    <row r="65" customFormat="false" ht="15" hidden="false" customHeight="false" outlineLevel="0" collapsed="false">
      <c r="A65" s="5" t="s">
        <v>120</v>
      </c>
      <c r="B65" s="9" t="n">
        <f aca="false">B64*B21</f>
        <v>8</v>
      </c>
      <c r="C65" s="7" t="s">
        <v>44</v>
      </c>
      <c r="D65" s="7" t="s">
        <v>121</v>
      </c>
    </row>
    <row r="66" customFormat="false" ht="15" hidden="false" customHeight="false" outlineLevel="0" collapsed="false">
      <c r="A66" s="5" t="s">
        <v>122</v>
      </c>
      <c r="B66" s="9" t="n">
        <f aca="false">B64*B22</f>
        <v>8</v>
      </c>
      <c r="C66" s="7" t="s">
        <v>38</v>
      </c>
      <c r="D66" s="7" t="s">
        <v>123</v>
      </c>
    </row>
    <row r="67" customFormat="false" ht="15" hidden="false" customHeight="false" outlineLevel="0" collapsed="false">
      <c r="A67" s="5" t="s">
        <v>124</v>
      </c>
      <c r="B67" s="9" t="n">
        <f aca="false">B24*B26</f>
        <v>8</v>
      </c>
      <c r="C67" s="7" t="s">
        <v>44</v>
      </c>
      <c r="D67" s="7" t="s">
        <v>125</v>
      </c>
    </row>
    <row r="68" customFormat="false" ht="15" hidden="false" customHeight="false" outlineLevel="0" collapsed="false">
      <c r="A68" s="5" t="s">
        <v>126</v>
      </c>
      <c r="B68" s="9" t="n">
        <f aca="false">B24*B27</f>
        <v>16</v>
      </c>
      <c r="C68" s="7" t="s">
        <v>38</v>
      </c>
      <c r="D68" s="7" t="s">
        <v>127</v>
      </c>
    </row>
    <row r="69" customFormat="false" ht="15" hidden="false" customHeight="false" outlineLevel="0" collapsed="false">
      <c r="A69" s="5" t="s">
        <v>128</v>
      </c>
      <c r="B69" s="9" t="n">
        <f aca="false">B28*B26</f>
        <v>16</v>
      </c>
      <c r="C69" s="7" t="s">
        <v>44</v>
      </c>
      <c r="D69" s="7" t="s">
        <v>129</v>
      </c>
    </row>
    <row r="70" customFormat="false" ht="15" hidden="false" customHeight="false" outlineLevel="0" collapsed="false">
      <c r="A70" s="5" t="s">
        <v>130</v>
      </c>
      <c r="B70" s="9" t="n">
        <f aca="false">B28*B27</f>
        <v>32</v>
      </c>
      <c r="C70" s="7" t="s">
        <v>38</v>
      </c>
      <c r="D70" s="7" t="s">
        <v>131</v>
      </c>
    </row>
    <row r="72" customFormat="false" ht="15" hidden="false" customHeight="false" outlineLevel="0" collapsed="false">
      <c r="A72" s="3" t="s">
        <v>132</v>
      </c>
      <c r="B72" s="3"/>
      <c r="C72" s="3"/>
      <c r="D72" s="3"/>
    </row>
    <row r="73" customFormat="false" ht="15" hidden="false" customHeight="false" outlineLevel="0" collapsed="false">
      <c r="A73" s="4" t="s">
        <v>3</v>
      </c>
      <c r="B73" s="4" t="s">
        <v>4</v>
      </c>
      <c r="C73" s="4" t="s">
        <v>5</v>
      </c>
      <c r="D73" s="4" t="s">
        <v>6</v>
      </c>
    </row>
    <row r="74" customFormat="false" ht="15" hidden="false" customHeight="false" outlineLevel="0" collapsed="false">
      <c r="A74" s="5" t="s">
        <v>133</v>
      </c>
      <c r="B74" s="11" t="n">
        <f aca="false">B52</f>
        <v>9</v>
      </c>
      <c r="C74" s="7" t="s">
        <v>54</v>
      </c>
      <c r="D74" s="7" t="s">
        <v>134</v>
      </c>
    </row>
    <row r="75" customFormat="false" ht="15" hidden="false" customHeight="false" outlineLevel="0" collapsed="false">
      <c r="A75" s="5" t="s">
        <v>135</v>
      </c>
      <c r="B75" s="11" t="n">
        <f aca="false">B64</f>
        <v>4</v>
      </c>
      <c r="C75" s="7" t="s">
        <v>54</v>
      </c>
      <c r="D75" s="7" t="s">
        <v>136</v>
      </c>
    </row>
    <row r="76" customFormat="false" ht="15" hidden="false" customHeight="false" outlineLevel="0" collapsed="false">
      <c r="A76" s="5" t="s">
        <v>53</v>
      </c>
      <c r="B76" s="11" t="n">
        <f aca="false">B24</f>
        <v>2</v>
      </c>
      <c r="C76" s="7" t="s">
        <v>54</v>
      </c>
      <c r="D76" s="7" t="s">
        <v>137</v>
      </c>
    </row>
    <row r="77" customFormat="false" ht="15" hidden="false" customHeight="false" outlineLevel="0" collapsed="false">
      <c r="A77" s="5" t="s">
        <v>62</v>
      </c>
      <c r="B77" s="11" t="n">
        <f aca="false">B28</f>
        <v>4</v>
      </c>
      <c r="C77" s="7" t="s">
        <v>54</v>
      </c>
      <c r="D77" s="7" t="s">
        <v>138</v>
      </c>
    </row>
    <row r="78" customFormat="false" ht="15" hidden="false" customHeight="false" outlineLevel="0" collapsed="false">
      <c r="A78" s="5" t="s">
        <v>139</v>
      </c>
      <c r="B78" s="9" t="n">
        <f aca="false">B53+B65+B67+B69+B29</f>
        <v>56</v>
      </c>
      <c r="C78" s="7" t="s">
        <v>44</v>
      </c>
      <c r="D78" s="7" t="s">
        <v>140</v>
      </c>
    </row>
    <row r="79" customFormat="false" ht="15" hidden="false" customHeight="false" outlineLevel="0" collapsed="false">
      <c r="A79" s="5" t="s">
        <v>141</v>
      </c>
      <c r="B79" s="9" t="n">
        <f aca="false">B54+B66+B68+B70+B30</f>
        <v>102</v>
      </c>
      <c r="C79" s="7" t="s">
        <v>38</v>
      </c>
      <c r="D79" s="7" t="s">
        <v>140</v>
      </c>
    </row>
    <row r="80" customFormat="false" ht="15" hidden="false" customHeight="false" outlineLevel="0" collapsed="false">
      <c r="A80" s="5" t="s">
        <v>142</v>
      </c>
      <c r="B80" s="9" t="n">
        <f aca="false">ROUNDUP(B78/B33,0)</f>
        <v>1</v>
      </c>
      <c r="C80" s="7" t="s">
        <v>143</v>
      </c>
      <c r="D80" s="7" t="s">
        <v>144</v>
      </c>
    </row>
    <row r="81" customFormat="false" ht="15" hidden="false" customHeight="false" outlineLevel="0" collapsed="false">
      <c r="A81" s="5" t="s">
        <v>145</v>
      </c>
      <c r="B81" s="9" t="n">
        <f aca="false">ROUNDUP(B79/B34,0)</f>
        <v>1</v>
      </c>
      <c r="C81" s="7" t="s">
        <v>143</v>
      </c>
      <c r="D81" s="7" t="s">
        <v>146</v>
      </c>
    </row>
    <row r="82" customFormat="false" ht="15" hidden="false" customHeight="false" outlineLevel="0" collapsed="false">
      <c r="A82" s="5" t="s">
        <v>147</v>
      </c>
      <c r="B82" s="11" t="n">
        <f aca="false">MAX(B80,B81,B16)</f>
        <v>3</v>
      </c>
      <c r="C82" s="7" t="s">
        <v>143</v>
      </c>
      <c r="D82" s="7" t="s">
        <v>148</v>
      </c>
    </row>
    <row r="83" customFormat="false" ht="15" hidden="false" customHeight="false" outlineLevel="0" collapsed="false">
      <c r="A83" s="5" t="s">
        <v>149</v>
      </c>
      <c r="B83" s="12" t="n">
        <f aca="false">B46</f>
        <v>4</v>
      </c>
      <c r="C83" s="7" t="s">
        <v>91</v>
      </c>
      <c r="D83" s="7" t="s">
        <v>150</v>
      </c>
    </row>
    <row r="84" customFormat="false" ht="15" hidden="false" customHeight="false" outlineLevel="0" collapsed="false">
      <c r="A84" s="5" t="s">
        <v>151</v>
      </c>
      <c r="B84" s="11" t="n">
        <f aca="false">B59</f>
        <v>896</v>
      </c>
      <c r="C84" s="7" t="s">
        <v>38</v>
      </c>
      <c r="D84" s="7" t="s">
        <v>152</v>
      </c>
    </row>
    <row r="85" customFormat="false" ht="15" hidden="false" customHeight="false" outlineLevel="0" collapsed="false">
      <c r="A85" s="5" t="s">
        <v>153</v>
      </c>
      <c r="B85" s="11" t="n">
        <f aca="false">B31</f>
        <v>4</v>
      </c>
      <c r="C85" s="7" t="s">
        <v>154</v>
      </c>
      <c r="D85" s="7" t="s">
        <v>155</v>
      </c>
    </row>
    <row r="86" customFormat="false" ht="15" hidden="false" customHeight="false" outlineLevel="0" collapsed="false">
      <c r="A86" s="5" t="s">
        <v>70</v>
      </c>
      <c r="B86" s="11" t="n">
        <f aca="false">B32</f>
        <v>16</v>
      </c>
      <c r="C86" s="7" t="s">
        <v>38</v>
      </c>
      <c r="D86" s="7" t="s">
        <v>156</v>
      </c>
    </row>
    <row r="88" customFormat="false" ht="15" hidden="false" customHeight="false" outlineLevel="0" collapsed="false">
      <c r="A88" s="3" t="s">
        <v>157</v>
      </c>
      <c r="B88" s="3"/>
      <c r="C88" s="3"/>
      <c r="D88" s="3"/>
    </row>
    <row r="89" customFormat="false" ht="15" hidden="false" customHeight="false" outlineLevel="0" collapsed="false">
      <c r="A89" s="13" t="s">
        <v>158</v>
      </c>
      <c r="B89" s="13"/>
      <c r="C89" s="13"/>
      <c r="D89" s="13"/>
    </row>
    <row r="90" customFormat="false" ht="15" hidden="false" customHeight="false" outlineLevel="0" collapsed="false">
      <c r="A90" s="13" t="s">
        <v>159</v>
      </c>
      <c r="B90" s="13"/>
      <c r="C90" s="13"/>
      <c r="D90" s="13"/>
    </row>
    <row r="91" customFormat="false" ht="15" hidden="false" customHeight="false" outlineLevel="0" collapsed="false">
      <c r="A91" s="13" t="s">
        <v>160</v>
      </c>
      <c r="B91" s="13"/>
      <c r="C91" s="13"/>
      <c r="D91" s="13"/>
    </row>
    <row r="92" customFormat="false" ht="15" hidden="false" customHeight="false" outlineLevel="0" collapsed="false">
      <c r="A92" s="13" t="s">
        <v>161</v>
      </c>
      <c r="B92" s="13"/>
      <c r="C92" s="13"/>
      <c r="D92" s="13"/>
    </row>
    <row r="93" customFormat="false" ht="15" hidden="false" customHeight="false" outlineLevel="0" collapsed="false">
      <c r="A93" s="13" t="s">
        <v>162</v>
      </c>
      <c r="B93" s="13"/>
      <c r="C93" s="13"/>
      <c r="D93" s="13"/>
    </row>
    <row r="94" customFormat="false" ht="15" hidden="false" customHeight="false" outlineLevel="0" collapsed="false">
      <c r="A94" s="13" t="s">
        <v>163</v>
      </c>
      <c r="B94" s="13"/>
      <c r="C94" s="13"/>
      <c r="D94" s="13"/>
    </row>
    <row r="95" customFormat="false" ht="15" hidden="false" customHeight="false" outlineLevel="0" collapsed="false">
      <c r="A95" s="13" t="s">
        <v>164</v>
      </c>
      <c r="B95" s="13"/>
      <c r="C95" s="13"/>
      <c r="D95" s="13"/>
    </row>
    <row r="96" customFormat="false" ht="15" hidden="false" customHeight="false" outlineLevel="0" collapsed="false">
      <c r="A96" s="13" t="s">
        <v>165</v>
      </c>
      <c r="B96" s="13"/>
      <c r="C96" s="13"/>
      <c r="D96" s="13"/>
    </row>
    <row r="97" customFormat="false" ht="15" hidden="false" customHeight="false" outlineLevel="0" collapsed="false">
      <c r="A97" s="13" t="s">
        <v>166</v>
      </c>
      <c r="B97" s="13"/>
      <c r="C97" s="13"/>
      <c r="D97" s="13"/>
    </row>
    <row r="98" customFormat="false" ht="15" hidden="false" customHeight="false" outlineLevel="0" collapsed="false">
      <c r="A98" s="13" t="s">
        <v>167</v>
      </c>
      <c r="B98" s="13"/>
      <c r="C98" s="13"/>
      <c r="D98" s="13"/>
    </row>
  </sheetData>
  <mergeCells count="18">
    <mergeCell ref="A1:D1"/>
    <mergeCell ref="A2:D2"/>
    <mergeCell ref="A4:D4"/>
    <mergeCell ref="A36:D36"/>
    <mergeCell ref="A48:D48"/>
    <mergeCell ref="A61:D61"/>
    <mergeCell ref="A72:D72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2026-07-18T05:44:29Z</dcterms:created>
  <dc:creator>openpyxl</dc:creator>
  <dc:description/>
  <dc:language>en-US</dc:language>
  <cp:lastModifiedBy/>
  <dcterms:modified xsi:type="dcterms:W3CDTF">2026-07-18T05:44:29Z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