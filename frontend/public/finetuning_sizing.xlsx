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z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<sst xmlns="http://schemas.openxmlformats.org/spreadsheetml/2006/main" count="279" uniqueCount="201">
  <si>
    <t xml:space="preserve">Fine-Tuning Sizing Sheet — Methods × Modalities × Domains</t>
  </si>
  <si>
    <t xml:space="preserve">Set the amber choices first. Method drives memory (Full-FT ≈ 30× LoRA/QLoRA); modality adds encoders &amp; changes token units; domain shifts data shape. Yellow = inputs, green = outputs, ⚠ = verify. Headline output: does it fit, and on how many GPUs.</t>
  </si>
  <si>
    <t xml:space="preserve">0  ·  CONFIGURATION — SET THESE FIRST  (these choices drive the whole sheet)</t>
  </si>
  <si>
    <t xml:space="preserve">Parameter</t>
  </si>
  <si>
    <t xml:space="preserve">Value</t>
  </si>
  <si>
    <t xml:space="preserve">Unit</t>
  </si>
  <si>
    <t xml:space="preserve">Basis / Notes</t>
  </si>
  <si>
    <t xml:space="preserve">Method</t>
  </si>
  <si>
    <t xml:space="preserve">QLoRA</t>
  </si>
  <si>
    <t xml:space="preserve">axis</t>
  </si>
  <si>
    <t xml:space="preserve">Full-FT (all params) · LoRA (frozen base + adapters) · QLoRA (4-bit base + adapters) · DoRA · Prefix-tuning.</t>
  </si>
  <si>
    <t xml:space="preserve">Modality</t>
  </si>
  <si>
    <t xml:space="preserve">Text</t>
  </si>
  <si>
    <t xml:space="preserve">Text · Vision-VLM · Speech-gen-TTS · Transcription-ASR · Audio-understanding. Sets encoder presence &amp; token units.</t>
  </si>
  <si>
    <t xml:space="preserve">Objective</t>
  </si>
  <si>
    <t xml:space="preserve">Instruction-SFT</t>
  </si>
  <si>
    <t xml:space="preserve">Instruction-SFT · Continued-pretrain (more tokens) · DPO (needs reference) · ORPO (reference-free preference).</t>
  </si>
  <si>
    <t xml:space="preserve">Domain preset</t>
  </si>
  <si>
    <t xml:space="preserve">General</t>
  </si>
  <si>
    <t xml:space="preserve">General · BFSI · Legal · Telco. Shifts typical context length &amp; data shape (see domain guidance below).</t>
  </si>
  <si>
    <t xml:space="preserve">Compute precision</t>
  </si>
  <si>
    <t xml:space="preserve">BF16</t>
  </si>
  <si>
    <t xml:space="preserve">Tensor-core path for the trainable math. Affects throughput only.</t>
  </si>
  <si>
    <t xml:space="preserve">Hardware / GPU</t>
  </si>
  <si>
    <t xml:space="preserve">B300 (288GB)</t>
  </si>
  <si>
    <t xml:space="preserve">GPU type sets HBM per GPU. Fine-tuning often runs on 1–8 GPUs.</t>
  </si>
  <si>
    <t xml:space="preserve">1  ·  BASE MODEL &amp; ARCHITECTURE</t>
  </si>
  <si>
    <t xml:space="preserve">Base model params</t>
  </si>
  <si>
    <t xml:space="preserve">B</t>
  </si>
  <si>
    <t xml:space="preserve">Total parameters of the model being fine-tuned.</t>
  </si>
  <si>
    <t xml:space="preserve">Layers</t>
  </si>
  <si>
    <t xml:space="preserve">layers</t>
  </si>
  <si>
    <t xml:space="preserve">Transformer blocks (drives adapter count &amp; activations).</t>
  </si>
  <si>
    <t xml:space="preserve">Hidden size</t>
  </si>
  <si>
    <t xml:space="preserve">dim</t>
  </si>
  <si>
    <t xml:space="preserve">Model width.</t>
  </si>
  <si>
    <t xml:space="preserve">Encoder params (vision/audio)</t>
  </si>
  <si>
    <t xml:space="preserve">Frozen vision/audio encoder for multi-modal FT. 0 for text/TTS. e.g. ViT ~0.3–6B, Whisper enc ~0.6B.</t>
  </si>
  <si>
    <t xml:space="preserve">Optimizer</t>
  </si>
  <si>
    <t xml:space="preserve">AdamW</t>
  </si>
  <si>
    <t xml:space="preserve">AdamW (18 B/trainable-param) or Muon (14). 8-bit Adam ≈ 10 — set via effective bytes if used.</t>
  </si>
  <si>
    <t xml:space="preserve">2  ·  METHOD (PEFT) PARAMETERS</t>
  </si>
  <si>
    <t xml:space="preserve">LoRA rank (r)</t>
  </si>
  <si>
    <t xml:space="preserve">rank</t>
  </si>
  <si>
    <t xml:space="preserve">Adapter rank. Higher = more capacity + more trainable params. Ignored for Full-FT.</t>
  </si>
  <si>
    <t xml:space="preserve">LoRA target modules</t>
  </si>
  <si>
    <t xml:space="preserve">modules</t>
  </si>
  <si>
    <t xml:space="preserve">Projections adapted per layer (q,k,v,o,gate,up,down = 7; attn-only = 4).</t>
  </si>
  <si>
    <t xml:space="preserve">Prefix virtual tokens</t>
  </si>
  <si>
    <t xml:space="preserve">tokens</t>
  </si>
  <si>
    <t xml:space="preserve">Prefix/prompt-tuning only — virtual tokens prepended per layer.</t>
  </si>
  <si>
    <t xml:space="preserve">Base quant bits (QLoRA)</t>
  </si>
  <si>
    <t xml:space="preserve">bits</t>
  </si>
  <si>
    <t xml:space="preserve">4 = NF4 (~0.55 B/param w/ double-quant). QLoRA only.</t>
  </si>
  <si>
    <t xml:space="preserve">3  ·  DATASET &amp; SCHEDULE</t>
  </si>
  <si>
    <t xml:space="preserve">Dataset size</t>
  </si>
  <si>
    <t xml:space="preserve">samples</t>
  </si>
  <si>
    <t xml:space="preserve">Native units: text examples · images · audio clips · documents.</t>
  </si>
  <si>
    <t xml:space="preserve">Tokens per sample</t>
  </si>
  <si>
    <t xml:space="preserve">Effective sequence length. Text: prompt+response. Vision: +~576/image. ASR: mel frames+text. TTS: text+~600/s codec.</t>
  </si>
  <si>
    <t xml:space="preserve">Epochs</t>
  </si>
  <si>
    <t xml:space="preserve">epochs</t>
  </si>
  <si>
    <t xml:space="preserve">Passes over the dataset. SFT typically 1–3; over-training PEFT overfits fast.</t>
  </si>
  <si>
    <t xml:space="preserve">Sequence length</t>
  </si>
  <si>
    <t xml:space="preserve">Max context (drives activation memory). Legal/long-doc pushes this to 8k–32k+.</t>
  </si>
  <si>
    <t xml:space="preserve">Micro-batch (seqs / GPU)</t>
  </si>
  <si>
    <t xml:space="preserve">seqs</t>
  </si>
  <si>
    <t xml:space="preserve">Per-GPU micro-batch. Raise if memory allows; use grad-accum for effective batch.</t>
  </si>
  <si>
    <t xml:space="preserve">Gradient checkpointing</t>
  </si>
  <si>
    <t xml:space="preserve">On</t>
  </si>
  <si>
    <t xml:space="preserve">On = recompute activations (less memory, ~+30% compute). Standard for FT.</t>
  </si>
  <si>
    <t xml:space="preserve">Domain guidance</t>
  </si>
  <si>
    <t xml:space="preserve">Auto-set from the domain preset. Domain mainly changes DATA (ctx, size, eval), not the compute model.</t>
  </si>
  <si>
    <t xml:space="preserve">4  ·  HARDWARE</t>
  </si>
  <si>
    <t xml:space="preserve">HBM per GPU</t>
  </si>
  <si>
    <t xml:space="preserve">GB</t>
  </si>
  <si>
    <t xml:space="preserve">From GPU type.</t>
  </si>
  <si>
    <t xml:space="preserve">GPUs available</t>
  </si>
  <si>
    <t xml:space="preserve">GPUs</t>
  </si>
  <si>
    <t xml:space="preserve">How many GPUs you have for this job. Fine-tuning is often 1–8.</t>
  </si>
  <si>
    <t xml:space="preserve">Peak — BF16</t>
  </si>
  <si>
    <t xml:space="preserve">PF/GPU</t>
  </si>
  <si>
    <t xml:space="preserve">⚠ B300 dense BF16. Adjust for other GPU types.</t>
  </si>
  <si>
    <t xml:space="preserve">Peak — FP8</t>
  </si>
  <si>
    <t xml:space="preserve">⚠ B300 dense FP8.</t>
  </si>
  <si>
    <t xml:space="preserve">Achieved MFU</t>
  </si>
  <si>
    <t xml:space="preserve">%</t>
  </si>
  <si>
    <t xml:space="preserve">FT MFU; small batches / short runs often lower.</t>
  </si>
  <si>
    <t xml:space="preserve">GPU TDP</t>
  </si>
  <si>
    <t xml:space="preserve">W</t>
  </si>
  <si>
    <t xml:space="preserve">For power estimate.</t>
  </si>
  <si>
    <t xml:space="preserve">5  ·  METHOD &amp; MODALITY FLAGS  (auto-derived)</t>
  </si>
  <si>
    <t xml:space="preserve">Full fine-tune?</t>
  </si>
  <si>
    <t xml:space="preserve">0/1</t>
  </si>
  <si>
    <t xml:space="preserve">QLoRA (quantized base)?</t>
  </si>
  <si>
    <t xml:space="preserve">Reference model needed?</t>
  </si>
  <si>
    <t xml:space="preserve">DPO carries a frozen reference; ORPO does not.</t>
  </si>
  <si>
    <t xml:space="preserve">Has encoder?</t>
  </si>
  <si>
    <t xml:space="preserve">Vision/ASR/audio add a (usually frozen) encoder.</t>
  </si>
  <si>
    <t xml:space="preserve">Base frozen bytes / param</t>
  </si>
  <si>
    <t xml:space="preserve">Full-FT: base folded into trainable (0). QLoRA: bits/8 + double-quant const. Else bf16 = 2.</t>
  </si>
  <si>
    <t xml:space="preserve">FLOP factor</t>
  </si>
  <si>
    <t xml:space="preserve">×</t>
  </si>
  <si>
    <t xml:space="preserve">Full=6·N·D. PEFT≈4 (no base weight-grad). QLoRA +dequant. ×1.3 if grad-checkpointing.</t>
  </si>
  <si>
    <t xml:space="preserve">Token multiplier</t>
  </si>
  <si>
    <t xml:space="preserve">Preference objectives process chosen+rejected.</t>
  </si>
  <si>
    <t xml:space="preserve">6  ·  TRAINABLE PARAMETERS</t>
  </si>
  <si>
    <t xml:space="preserve">Adapter params</t>
  </si>
  <si>
    <t xml:space="preserve">params</t>
  </si>
  <si>
    <t xml:space="preserve">Full-FT = all. LoRA/DoRA = layers·modules·2·r·hidden. Prefix = vtok·layers·hidden·2.</t>
  </si>
  <si>
    <t xml:space="preserve">Trainable fraction</t>
  </si>
  <si>
    <t xml:space="preserve">Share of params updated. LoRA/QLoRA usually 0.1–2%.</t>
  </si>
  <si>
    <t xml:space="preserve">Total tokens</t>
  </si>
  <si>
    <t xml:space="preserve">Samples × tokens/sample × epochs × objective multiplier.</t>
  </si>
  <si>
    <t xml:space="preserve">7  ·  MEMORY  (per GPU + single-GPU feasibility)</t>
  </si>
  <si>
    <t xml:space="preserve">Optimizer bytes / trainable param</t>
  </si>
  <si>
    <t xml:space="preserve">On TRAINABLE params only (weight+grad+optimizer). PEFT ⇒ tiny.</t>
  </si>
  <si>
    <t xml:space="preserve">Base weights memory</t>
  </si>
  <si>
    <t xml:space="preserve">Frozen base (bf16=2, QLoRA≈0.55). Full-FT counts base in trainable instead.</t>
  </si>
  <si>
    <t xml:space="preserve">Trainable state memory</t>
  </si>
  <si>
    <t xml:space="preserve">Weights+grads+optimizer on trainable params. Full-FT = 18·N; PEFT = 18·adapters.</t>
  </si>
  <si>
    <t xml:space="preserve">Encoder memory</t>
  </si>
  <si>
    <t xml:space="preserve">Frozen encoder weights (bf16).</t>
  </si>
  <si>
    <t xml:space="preserve">Reference model memory</t>
  </si>
  <si>
    <t xml:space="preserve">DPO frozen reference (bf16).</t>
  </si>
  <si>
    <t xml:space="preserve">Activation memory</t>
  </si>
  <si>
    <t xml:space="preserve">Per GPU for its micro-batch. Grad-checkpointing cuts this ~4×.</t>
  </si>
  <si>
    <t xml:space="preserve">Total memory (single GPU)</t>
  </si>
  <si>
    <t xml:space="preserve">Everything on ONE GPU (the key FT feasibility number).</t>
  </si>
  <si>
    <t xml:space="preserve">Fits on 1 GPU?</t>
  </si>
  <si>
    <t xml:space="preserve">≤90% of HBM.</t>
  </si>
  <si>
    <t xml:space="preserve">Min GPUs for memory</t>
  </si>
  <si>
    <t xml:space="preserve">Shard base+state across GPUs (FSDP); activations stay per-GPU.</t>
  </si>
  <si>
    <t xml:space="preserve">Memory / GPU (at GPUs available)</t>
  </si>
  <si>
    <t xml:space="preserve">Sharded state across your GPUs + per-GPU activations.</t>
  </si>
  <si>
    <t xml:space="preserve">8  ·  COMPUTE &amp; TIME</t>
  </si>
  <si>
    <t xml:space="preserve">Total FLOPs</t>
  </si>
  <si>
    <t xml:space="preserve">FLOP</t>
  </si>
  <si>
    <t xml:space="preserve">FLOP-factor·N·tokens (+ frozen-encoder forward).</t>
  </si>
  <si>
    <t xml:space="preserve">Effective peak / GPU</t>
  </si>
  <si>
    <t xml:space="preserve">PF</t>
  </si>
  <si>
    <t xml:space="preserve">By precision.</t>
  </si>
  <si>
    <t xml:space="preserve">Throughput / GPU</t>
  </si>
  <si>
    <t xml:space="preserve">Peak × MFU.</t>
  </si>
  <si>
    <t xml:space="preserve">Effective GPUs</t>
  </si>
  <si>
    <t xml:space="preserve">Larger of available and memory-minimum.</t>
  </si>
  <si>
    <t xml:space="preserve">Training time</t>
  </si>
  <si>
    <t xml:space="preserve">hours</t>
  </si>
  <si>
    <t xml:space="preserve">Total FLOPs / (GPUs × throughput).</t>
  </si>
  <si>
    <t xml:space="preserve">GPU-hours</t>
  </si>
  <si>
    <t xml:space="preserve">Cost.</t>
  </si>
  <si>
    <t xml:space="preserve">9  ·  OUTPUT ARTIFACTS &amp; STORAGE</t>
  </si>
  <si>
    <t xml:space="preserve">Adapter / checkpoint size</t>
  </si>
  <si>
    <t xml:space="preserve">Full-FT = full model. PEFT = just adapters (portable, often &lt;1 GB).</t>
  </si>
  <si>
    <t xml:space="preserve">Merged model size (if merged)</t>
  </si>
  <si>
    <t xml:space="preserve">LoRA can be merged back into base for deployment (bf16).</t>
  </si>
  <si>
    <t xml:space="preserve">Dataset (tokenized)</t>
  </si>
  <si>
    <t xml:space="preserve">One epoch of tokenized data (~2 B/token). Multi-modal raw media much larger.</t>
  </si>
  <si>
    <t xml:space="preserve">10  ·  POWER</t>
  </si>
  <si>
    <t xml:space="preserve">Power draw</t>
  </si>
  <si>
    <t xml:space="preserve">kW</t>
  </si>
  <si>
    <t xml:space="preserve">GPU-only during the run.</t>
  </si>
  <si>
    <t xml:space="preserve">Energy</t>
  </si>
  <si>
    <t xml:space="preserve">kWh</t>
  </si>
  <si>
    <t xml:space="preserve">Power × time. FT is cheap vs pretraining.</t>
  </si>
  <si>
    <t xml:space="preserve">11  ·  SUMMARY &amp; RECOMMENDATIONS</t>
  </si>
  <si>
    <t xml:space="preserve">Verdict</t>
  </si>
  <si>
    <t xml:space="preserve">Headline feasibility.</t>
  </si>
  <si>
    <t xml:space="preserve">Memory saving vs Full-FT</t>
  </si>
  <si>
    <t xml:space="preserve">How much this method saves vs full fine-tuning on one GPU.</t>
  </si>
  <si>
    <t xml:space="preserve">QLoRA to fit big models on few GPUs</t>
  </si>
  <si>
    <t xml:space="preserve">4-bit base + bf16 adapters. ~4× less memory than LoRA, enables 70B on a single 80–96 GB GPU. Small MFU/throughput cost from dequant.</t>
  </si>
  <si>
    <t xml:space="preserve">When Full-FT</t>
  </si>
  <si>
    <t xml:space="preserve">Best quality, domain shift, enough GPUs</t>
  </si>
  <si>
    <t xml:space="preserve">Continued-pretraining or large domain shift benefits from full-FT; needs 18 B/param of state — shard with FSDP/ZeRO.</t>
  </si>
  <si>
    <t xml:space="preserve">LoRA rank</t>
  </si>
  <si>
    <t xml:space="preserve">Start r=16–32; raise for hard domains</t>
  </si>
  <si>
    <t xml:space="preserve">Higher rank = more capacity + larger adapter. Target more modules (all-linear) before raising rank.</t>
  </si>
  <si>
    <t xml:space="preserve">Vision-VLM</t>
  </si>
  <si>
    <t xml:space="preserve">Freeze encoder, LoRA the LLM (+projector)</t>
  </si>
  <si>
    <t xml:space="preserve">Train the projector + LoRA on the language model; keep the vision encoder frozen unless domain images are very out-of-distribution.</t>
  </si>
  <si>
    <t xml:space="preserve">Transcription-ASR</t>
  </si>
  <si>
    <t xml:space="preserve">Whisper: full-FT (small) or LoRA encoder+decoder</t>
  </si>
  <si>
    <t xml:space="preserve">Encoder is usually trained for new acoustics/accents; data measured in audio-hours, not tokens.</t>
  </si>
  <si>
    <t xml:space="preserve">Speech-gen-TTS</t>
  </si>
  <si>
    <t xml:space="preserve">Sequence is long (codec tokens)</t>
  </si>
  <si>
    <t xml:space="preserve">Audio codec tokens (~600/s × codebooks) blow up sequence length — watch activation memory and context.</t>
  </si>
  <si>
    <t xml:space="preserve">Domain (BFSI/Legal/Telco)</t>
  </si>
  <si>
    <t xml:space="preserve">Data &amp; eval, not architecture</t>
  </si>
  <si>
    <t xml:space="preserve">Same compute model; invest in domain data curation, context length, compliance/PII handling, and domain eval sets. RAG often complements FT.</t>
  </si>
  <si>
    <t xml:space="preserve">DPO needs a reference (2×N frozen); ORPO doesn't</t>
  </si>
  <si>
    <t xml:space="preserve">For preference tuning on tight memory, ORPO avoids the reference-model footprint.</t>
  </si>
  <si>
    <t xml:space="preserve">12  ·  VERIFY / SCOPE NOTES</t>
  </si>
  <si>
    <t xml:space="preserve">⚠  Peak FLOPS are B300 dense placeholders. Change peaks + HBM for other GPU types (H200/H100/A100/L40S set HBM automatically; adjust peaks manually).</t>
  </si>
  <si>
    <t xml:space="preserve">⚠  Activation and FLOP figures are planning estimates. Real memory depends on the trainer (HF PEFT, Axolotl, Unsloth), attention impl (FlashAttention cuts activation), and packing.</t>
  </si>
  <si>
    <t xml:space="preserve">•  Method sets the memory regime: Full-FT ≈ 18 B/param; LoRA = 2 B/param frozen base + tiny adapters; QLoRA ≈ 0.55 B/param base + tiny adapters. That is the ~30× swing.</t>
  </si>
  <si>
    <t xml:space="preserve">•  PEFT saves compute too (~FLOP factor 4 vs 6): no weight-gradient matmul on the frozen base, only activation gradients to reach the adapters.</t>
  </si>
  <si>
    <t xml:space="preserve">•  Modality changes token UNITS and encoder presence: images→visual tokens, audio→mel frames (ASR) or codec tokens (TTS). Enter the effective tokens/sample accordingly.</t>
  </si>
  <si>
    <t xml:space="preserve">•  Domain presets (BFSI/Legal/Telco) shift data shape (context length, dataset size, eval, compliance) — not the compute model. The domain-guidance cell summarizes the main lever.</t>
  </si>
  <si>
    <t xml:space="preserve">•  8-bit Adam / paged optimizers reduce optimizer bytes (~10 vs 18) — set the optimizer-bytes assumption accordingly if you use them.</t>
  </si>
  <si>
    <t xml:space="preserve">•  OUT OF SCOPE: RL post-training (rl_posttraining_sizing.xlsx), pretraining (llm_training_sizing.xlsx), and diffusion fine-tuning (separate sheet — different objective, VAE latents, timestep sampling).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</si>
</sst>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#,##0.0"/>
    <numFmt numFmtId="167" formatCode="0.0"/>
    <numFmt numFmtId="168" formatCode="0%"/>
    <numFmt numFmtId="169" formatCode="0"/>
    <numFmt numFmtId="170" formatCode="0.00"/>
    <numFmt numFmtId="171" formatCode="0.00%"/>
    <numFmt numFmtId="172" formatCode="0.00E+00"/>
    <numFmt numFmtId="173" formatCode="0.000"/>
    <numFmt numFmtId="174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D9D9D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BF8F00"/>
        <bgColor rgb="FFFF6600"/>
      </patternFill>
    </fill>
    <fill>
      <patternFill patternType="solid">
        <fgColor rgb="FF44546A"/>
        <bgColor rgb="FF595959"/>
      </patternFill>
    </fill>
    <fill>
      <patternFill patternType="solid">
        <fgColor rgb="FFFFD966"/>
        <bgColor rgb="FFFFFF99"/>
      </patternFill>
    </fill>
    <fill>
      <patternFill patternType="solid">
        <fgColor rgb="FF2E5496"/>
        <bgColor rgb="FF44546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7F6000"/>
      </left>
      <right style="medium">
        <color rgb="FF7F6000"/>
      </right>
      <top style="medium">
        <color rgb="FF7F6000"/>
      </top>
      <bottom style="medium">
        <color rgb="FF7F600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4" t="s">
        <v>6</v>
      </c>
    </row>
    <row r="6" customFormat="false" ht="22.35" hidden="false" customHeight="false" outlineLevel="0" collapsed="false">
      <c r="A6" s="6" t="s">
        <v>7</v>
      </c>
      <c r="B6" s="7" t="s">
        <v>8</v>
      </c>
      <c r="C6" s="8" t="s">
        <v>9</v>
      </c>
      <c r="D6" s="9" t="s">
        <v>10</v>
      </c>
    </row>
    <row r="7" customFormat="false" ht="22.35" hidden="false" customHeight="false" outlineLevel="0" collapsed="false">
      <c r="A7" s="6" t="s">
        <v>11</v>
      </c>
      <c r="B7" s="7" t="s">
        <v>12</v>
      </c>
      <c r="C7" s="8" t="s">
        <v>9</v>
      </c>
      <c r="D7" s="9" t="s">
        <v>13</v>
      </c>
    </row>
    <row r="8" customFormat="false" ht="22.35" hidden="false" customHeight="false" outlineLevel="0" collapsed="false">
      <c r="A8" s="6" t="s">
        <v>14</v>
      </c>
      <c r="B8" s="7" t="s">
        <v>15</v>
      </c>
      <c r="C8" s="8" t="s">
        <v>9</v>
      </c>
      <c r="D8" s="9" t="s">
        <v>16</v>
      </c>
    </row>
    <row r="9" customFormat="false" ht="22.35" hidden="false" customHeight="false" outlineLevel="0" collapsed="false">
      <c r="A9" s="6" t="s">
        <v>17</v>
      </c>
      <c r="B9" s="7" t="s">
        <v>18</v>
      </c>
      <c r="C9" s="8" t="s">
        <v>9</v>
      </c>
      <c r="D9" s="9" t="s">
        <v>19</v>
      </c>
    </row>
    <row r="10" customFormat="false" ht="15" hidden="false" customHeight="false" outlineLevel="0" collapsed="false">
      <c r="A10" s="6" t="s">
        <v>20</v>
      </c>
      <c r="B10" s="7" t="s">
        <v>21</v>
      </c>
      <c r="C10" s="8" t="s">
        <v>9</v>
      </c>
      <c r="D10" s="9" t="s">
        <v>22</v>
      </c>
    </row>
    <row r="11" customFormat="false" ht="15" hidden="false" customHeight="false" outlineLevel="0" collapsed="false">
      <c r="A11" s="6" t="s">
        <v>23</v>
      </c>
      <c r="B11" s="7" t="s">
        <v>24</v>
      </c>
      <c r="C11" s="8" t="s">
        <v>9</v>
      </c>
      <c r="D11" s="9" t="s">
        <v>25</v>
      </c>
    </row>
    <row r="13" customFormat="false" ht="19.5" hidden="false" customHeight="true" outlineLevel="0" collapsed="false">
      <c r="A13" s="10" t="s">
        <v>26</v>
      </c>
      <c r="B13" s="10"/>
      <c r="C13" s="10"/>
      <c r="D13" s="10"/>
    </row>
    <row r="14" customFormat="false" ht="15" hidden="false" customHeight="false" outlineLevel="0" collapsed="false">
      <c r="A14" s="4" t="s">
        <v>3</v>
      </c>
      <c r="B14" s="5" t="s">
        <v>4</v>
      </c>
      <c r="C14" s="5" t="s">
        <v>5</v>
      </c>
      <c r="D14" s="4" t="s">
        <v>6</v>
      </c>
    </row>
    <row r="15" customFormat="false" ht="15" hidden="false" customHeight="false" outlineLevel="0" collapsed="false">
      <c r="A15" s="6" t="s">
        <v>27</v>
      </c>
      <c r="B15" s="11" t="n">
        <v>8</v>
      </c>
      <c r="C15" s="8" t="s">
        <v>28</v>
      </c>
      <c r="D15" s="9" t="s">
        <v>29</v>
      </c>
    </row>
    <row r="16" customFormat="false" ht="15" hidden="false" customHeight="false" outlineLevel="0" collapsed="false">
      <c r="A16" s="6" t="s">
        <v>30</v>
      </c>
      <c r="B16" s="11" t="n">
        <v>32</v>
      </c>
      <c r="C16" s="8" t="s">
        <v>31</v>
      </c>
      <c r="D16" s="9" t="s">
        <v>32</v>
      </c>
    </row>
    <row r="17" customFormat="false" ht="15" hidden="false" customHeight="false" outlineLevel="0" collapsed="false">
      <c r="A17" s="6" t="s">
        <v>33</v>
      </c>
      <c r="B17" s="11" t="n">
        <v>4096</v>
      </c>
      <c r="C17" s="8" t="s">
        <v>34</v>
      </c>
      <c r="D17" s="9" t="s">
        <v>35</v>
      </c>
    </row>
    <row r="18" customFormat="false" ht="22.35" hidden="false" customHeight="false" outlineLevel="0" collapsed="false">
      <c r="A18" s="6" t="s">
        <v>36</v>
      </c>
      <c r="B18" s="12" t="n">
        <v>0</v>
      </c>
      <c r="C18" s="8" t="s">
        <v>28</v>
      </c>
      <c r="D18" s="9" t="s">
        <v>37</v>
      </c>
    </row>
    <row r="19" customFormat="false" ht="22.35" hidden="false" customHeight="false" outlineLevel="0" collapsed="false">
      <c r="A19" s="6" t="s">
        <v>38</v>
      </c>
      <c r="B19" s="13" t="s">
        <v>39</v>
      </c>
      <c r="C19" s="8"/>
      <c r="D19" s="9" t="s">
        <v>40</v>
      </c>
    </row>
    <row r="21" customFormat="false" ht="19.5" hidden="false" customHeight="true" outlineLevel="0" collapsed="false">
      <c r="A21" s="10" t="s">
        <v>41</v>
      </c>
      <c r="B21" s="10"/>
      <c r="C21" s="10"/>
      <c r="D21" s="10"/>
    </row>
    <row r="22" customFormat="false" ht="15" hidden="false" customHeight="false" outlineLevel="0" collapsed="false">
      <c r="A22" s="4" t="s">
        <v>3</v>
      </c>
      <c r="B22" s="5" t="s">
        <v>4</v>
      </c>
      <c r="C22" s="5" t="s">
        <v>5</v>
      </c>
      <c r="D22" s="4" t="s">
        <v>6</v>
      </c>
    </row>
    <row r="23" customFormat="false" ht="22.35" hidden="false" customHeight="false" outlineLevel="0" collapsed="false">
      <c r="A23" s="6" t="s">
        <v>42</v>
      </c>
      <c r="B23" s="11" t="n">
        <v>16</v>
      </c>
      <c r="C23" s="8" t="s">
        <v>43</v>
      </c>
      <c r="D23" s="9" t="s">
        <v>44</v>
      </c>
    </row>
    <row r="24" customFormat="false" ht="15" hidden="false" customHeight="false" outlineLevel="0" collapsed="false">
      <c r="A24" s="6" t="s">
        <v>45</v>
      </c>
      <c r="B24" s="11" t="n">
        <v>7</v>
      </c>
      <c r="C24" s="8" t="s">
        <v>46</v>
      </c>
      <c r="D24" s="9" t="s">
        <v>47</v>
      </c>
    </row>
    <row r="25" customFormat="false" ht="15" hidden="false" customHeight="false" outlineLevel="0" collapsed="false">
      <c r="A25" s="6" t="s">
        <v>48</v>
      </c>
      <c r="B25" s="11" t="n">
        <v>20</v>
      </c>
      <c r="C25" s="8" t="s">
        <v>49</v>
      </c>
      <c r="D25" s="9" t="s">
        <v>50</v>
      </c>
    </row>
    <row r="26" customFormat="false" ht="15" hidden="false" customHeight="false" outlineLevel="0" collapsed="false">
      <c r="A26" s="6" t="s">
        <v>51</v>
      </c>
      <c r="B26" s="11" t="n">
        <v>4</v>
      </c>
      <c r="C26" s="8" t="s">
        <v>52</v>
      </c>
      <c r="D26" s="9" t="s">
        <v>53</v>
      </c>
    </row>
    <row r="28" customFormat="false" ht="19.5" hidden="false" customHeight="true" outlineLevel="0" collapsed="false">
      <c r="A28" s="10" t="s">
        <v>54</v>
      </c>
      <c r="B28" s="10"/>
      <c r="C28" s="10"/>
      <c r="D28" s="10"/>
    </row>
    <row r="29" customFormat="false" ht="15" hidden="false" customHeight="false" outlineLevel="0" collapsed="false">
      <c r="A29" s="4" t="s">
        <v>3</v>
      </c>
      <c r="B29" s="5" t="s">
        <v>4</v>
      </c>
      <c r="C29" s="5" t="s">
        <v>5</v>
      </c>
      <c r="D29" s="4" t="s">
        <v>6</v>
      </c>
    </row>
    <row r="30" customFormat="false" ht="15" hidden="false" customHeight="false" outlineLevel="0" collapsed="false">
      <c r="A30" s="6" t="s">
        <v>55</v>
      </c>
      <c r="B30" s="11" t="n">
        <v>50000</v>
      </c>
      <c r="C30" s="8" t="s">
        <v>56</v>
      </c>
      <c r="D30" s="9" t="s">
        <v>57</v>
      </c>
    </row>
    <row r="31" customFormat="false" ht="22.35" hidden="false" customHeight="false" outlineLevel="0" collapsed="false">
      <c r="A31" s="6" t="s">
        <v>58</v>
      </c>
      <c r="B31" s="11" t="n">
        <v>1024</v>
      </c>
      <c r="C31" s="8" t="s">
        <v>49</v>
      </c>
      <c r="D31" s="9" t="s">
        <v>59</v>
      </c>
    </row>
    <row r="32" customFormat="false" ht="15" hidden="false" customHeight="false" outlineLevel="0" collapsed="false">
      <c r="A32" s="6" t="s">
        <v>60</v>
      </c>
      <c r="B32" s="11" t="n">
        <v>3</v>
      </c>
      <c r="C32" s="8" t="s">
        <v>61</v>
      </c>
      <c r="D32" s="9" t="s">
        <v>62</v>
      </c>
    </row>
    <row r="33" customFormat="false" ht="15" hidden="false" customHeight="false" outlineLevel="0" collapsed="false">
      <c r="A33" s="6" t="s">
        <v>63</v>
      </c>
      <c r="B33" s="11" t="n">
        <v>1024</v>
      </c>
      <c r="C33" s="8" t="s">
        <v>49</v>
      </c>
      <c r="D33" s="9" t="s">
        <v>64</v>
      </c>
    </row>
    <row r="34" customFormat="false" ht="15" hidden="false" customHeight="false" outlineLevel="0" collapsed="false">
      <c r="A34" s="6" t="s">
        <v>65</v>
      </c>
      <c r="B34" s="11" t="n">
        <v>1</v>
      </c>
      <c r="C34" s="8" t="s">
        <v>66</v>
      </c>
      <c r="D34" s="9" t="s">
        <v>67</v>
      </c>
    </row>
    <row r="35" customFormat="false" ht="15" hidden="false" customHeight="false" outlineLevel="0" collapsed="false">
      <c r="A35" s="6" t="s">
        <v>68</v>
      </c>
      <c r="B35" s="13" t="s">
        <v>69</v>
      </c>
      <c r="C35" s="8"/>
      <c r="D35" s="9" t="s">
        <v>70</v>
      </c>
    </row>
    <row r="36" customFormat="false" ht="22.35" hidden="false" customHeight="false" outlineLevel="0" collapsed="false">
      <c r="A36" s="6" t="s">
        <v>71</v>
      </c>
      <c r="B36" s="14" t="str">
        <f aca="false">IF(B9="Legal","Long docs (8–32k ctx); citation/hallucination-sensitive; often continued-pretrain then SFT",IF(B9="BFSI","Structured/tabular + PII/compliance; numeric-accuracy eval; moderate ctx; guardrails",IF(B9="Telco","Jargon, configs, logs, troubleshooting; medium ctx; RAG often complements FT","Standard instruction data")))</f>
        <v>Standard instruction data</v>
      </c>
      <c r="C36" s="8"/>
      <c r="D36" s="9" t="s">
        <v>72</v>
      </c>
    </row>
    <row r="38" customFormat="false" ht="19.5" hidden="false" customHeight="true" outlineLevel="0" collapsed="false">
      <c r="A38" s="10" t="s">
        <v>73</v>
      </c>
      <c r="B38" s="10"/>
      <c r="C38" s="10"/>
      <c r="D38" s="10"/>
    </row>
    <row r="39" customFormat="false" ht="15" hidden="false" customHeight="false" outlineLevel="0" collapsed="false">
      <c r="A39" s="4" t="s">
        <v>3</v>
      </c>
      <c r="B39" s="5" t="s">
        <v>4</v>
      </c>
      <c r="C39" s="5" t="s">
        <v>5</v>
      </c>
      <c r="D39" s="4" t="s">
        <v>6</v>
      </c>
    </row>
    <row r="40" customFormat="false" ht="15" hidden="false" customHeight="false" outlineLevel="0" collapsed="false">
      <c r="A40" s="6" t="s">
        <v>74</v>
      </c>
      <c r="B40" s="15" t="n">
        <f aca="false">IF(B11="B300 (288GB)",288,IF(B11="H200 (141GB)",141,IF(B11="H100 (80GB)",80,IF(B11="A100 (40GB)",40,48))))</f>
        <v>288</v>
      </c>
      <c r="C40" s="8" t="s">
        <v>75</v>
      </c>
      <c r="D40" s="9" t="s">
        <v>76</v>
      </c>
    </row>
    <row r="41" customFormat="false" ht="15" hidden="false" customHeight="false" outlineLevel="0" collapsed="false">
      <c r="A41" s="6" t="s">
        <v>77</v>
      </c>
      <c r="B41" s="11" t="n">
        <v>1</v>
      </c>
      <c r="C41" s="8" t="s">
        <v>78</v>
      </c>
      <c r="D41" s="9" t="s">
        <v>79</v>
      </c>
    </row>
    <row r="42" customFormat="false" ht="15" hidden="false" customHeight="false" outlineLevel="0" collapsed="false">
      <c r="A42" s="6" t="s">
        <v>80</v>
      </c>
      <c r="B42" s="16" t="n">
        <v>2.5</v>
      </c>
      <c r="C42" s="8" t="s">
        <v>81</v>
      </c>
      <c r="D42" s="9" t="s">
        <v>82</v>
      </c>
    </row>
    <row r="43" customFormat="false" ht="15" hidden="false" customHeight="false" outlineLevel="0" collapsed="false">
      <c r="A43" s="6" t="s">
        <v>83</v>
      </c>
      <c r="B43" s="16" t="n">
        <v>5</v>
      </c>
      <c r="C43" s="8" t="s">
        <v>81</v>
      </c>
      <c r="D43" s="9" t="s">
        <v>84</v>
      </c>
    </row>
    <row r="44" customFormat="false" ht="15" hidden="false" customHeight="false" outlineLevel="0" collapsed="false">
      <c r="A44" s="6" t="s">
        <v>85</v>
      </c>
      <c r="B44" s="17" t="n">
        <v>0.35</v>
      </c>
      <c r="C44" s="8" t="s">
        <v>86</v>
      </c>
      <c r="D44" s="9" t="s">
        <v>87</v>
      </c>
    </row>
    <row r="45" customFormat="false" ht="15" hidden="false" customHeight="false" outlineLevel="0" collapsed="false">
      <c r="A45" s="6" t="s">
        <v>88</v>
      </c>
      <c r="B45" s="11" t="n">
        <v>1400</v>
      </c>
      <c r="C45" s="8" t="s">
        <v>89</v>
      </c>
      <c r="D45" s="9" t="s">
        <v>90</v>
      </c>
    </row>
    <row r="47" customFormat="false" ht="19.5" hidden="false" customHeight="true" outlineLevel="0" collapsed="false">
      <c r="A47" s="10" t="s">
        <v>91</v>
      </c>
      <c r="B47" s="10"/>
      <c r="C47" s="10"/>
      <c r="D47" s="10"/>
    </row>
    <row r="48" customFormat="false" ht="15" hidden="false" customHeight="false" outlineLevel="0" collapsed="false">
      <c r="A48" s="4" t="s">
        <v>3</v>
      </c>
      <c r="B48" s="5" t="s">
        <v>4</v>
      </c>
      <c r="C48" s="5" t="s">
        <v>5</v>
      </c>
      <c r="D48" s="4" t="s">
        <v>6</v>
      </c>
    </row>
    <row r="49" customFormat="false" ht="15" hidden="false" customHeight="false" outlineLevel="0" collapsed="false">
      <c r="A49" s="6" t="s">
        <v>92</v>
      </c>
      <c r="B49" s="18" t="n">
        <f aca="false">IF(B6="Full-FT",1,0)</f>
        <v>0</v>
      </c>
      <c r="C49" s="8" t="s">
        <v>93</v>
      </c>
      <c r="D49" s="9"/>
    </row>
    <row r="50" customFormat="false" ht="15" hidden="false" customHeight="false" outlineLevel="0" collapsed="false">
      <c r="A50" s="6" t="s">
        <v>94</v>
      </c>
      <c r="B50" s="18" t="n">
        <f aca="false">IF(B6="QLoRA",1,0)</f>
        <v>1</v>
      </c>
      <c r="C50" s="8" t="s">
        <v>93</v>
      </c>
      <c r="D50" s="9"/>
    </row>
    <row r="51" customFormat="false" ht="15" hidden="false" customHeight="false" outlineLevel="0" collapsed="false">
      <c r="A51" s="6" t="s">
        <v>95</v>
      </c>
      <c r="B51" s="18" t="n">
        <f aca="false">IF(B8="DPO",1,0)</f>
        <v>0</v>
      </c>
      <c r="C51" s="8" t="s">
        <v>93</v>
      </c>
      <c r="D51" s="9" t="s">
        <v>96</v>
      </c>
    </row>
    <row r="52" customFormat="false" ht="15" hidden="false" customHeight="false" outlineLevel="0" collapsed="false">
      <c r="A52" s="6" t="s">
        <v>97</v>
      </c>
      <c r="B52" s="18" t="n">
        <f aca="false">IF(OR(B7="Vision-VLM",B7="Transcription-ASR",B7="Audio-understanding"),1,0)</f>
        <v>0</v>
      </c>
      <c r="C52" s="8" t="s">
        <v>93</v>
      </c>
      <c r="D52" s="9" t="s">
        <v>98</v>
      </c>
    </row>
    <row r="53" customFormat="false" ht="22.35" hidden="false" customHeight="false" outlineLevel="0" collapsed="false">
      <c r="A53" s="6" t="s">
        <v>99</v>
      </c>
      <c r="B53" s="19" t="n">
        <f aca="false">IF(B49=1,0,IF(B50=1,B26/8+0.06,2))</f>
        <v>0.56</v>
      </c>
      <c r="C53" s="8" t="s">
        <v>28</v>
      </c>
      <c r="D53" s="9" t="s">
        <v>100</v>
      </c>
    </row>
    <row r="54" customFormat="false" ht="22.35" hidden="false" customHeight="false" outlineLevel="0" collapsed="false">
      <c r="A54" s="6" t="s">
        <v>101</v>
      </c>
      <c r="B54" s="20" t="n">
        <f aca="false">IF(B49=1,6,IF(B50=1,4.5,4))*IF(B35="On",1.3,1)</f>
        <v>5.85</v>
      </c>
      <c r="C54" s="8" t="s">
        <v>102</v>
      </c>
      <c r="D54" s="9" t="s">
        <v>103</v>
      </c>
    </row>
    <row r="55" customFormat="false" ht="15" hidden="false" customHeight="false" outlineLevel="0" collapsed="false">
      <c r="A55" s="6" t="s">
        <v>104</v>
      </c>
      <c r="B55" s="18" t="n">
        <f aca="false">IF(OR(B8="DPO",B8="ORPO"),2,1)</f>
        <v>1</v>
      </c>
      <c r="C55" s="8" t="s">
        <v>102</v>
      </c>
      <c r="D55" s="9" t="s">
        <v>105</v>
      </c>
    </row>
    <row r="57" customFormat="false" ht="19.5" hidden="false" customHeight="true" outlineLevel="0" collapsed="false">
      <c r="A57" s="10" t="s">
        <v>106</v>
      </c>
      <c r="B57" s="10"/>
      <c r="C57" s="10"/>
      <c r="D57" s="10"/>
    </row>
    <row r="58" customFormat="false" ht="15" hidden="false" customHeight="false" outlineLevel="0" collapsed="false">
      <c r="A58" s="4" t="s">
        <v>3</v>
      </c>
      <c r="B58" s="5" t="s">
        <v>4</v>
      </c>
      <c r="C58" s="5" t="s">
        <v>5</v>
      </c>
      <c r="D58" s="4" t="s">
        <v>6</v>
      </c>
    </row>
    <row r="59" customFormat="false" ht="22.35" hidden="false" customHeight="false" outlineLevel="0" collapsed="false">
      <c r="A59" s="6" t="s">
        <v>107</v>
      </c>
      <c r="B59" s="15" t="n">
        <f aca="false">IF(B49=1,B15*1000000000,IF(B6="Prefix-tuning",B25*B16*B17*2,B16*B24*2*B23*B17))</f>
        <v>29360128</v>
      </c>
      <c r="C59" s="8" t="s">
        <v>108</v>
      </c>
      <c r="D59" s="9" t="s">
        <v>109</v>
      </c>
    </row>
    <row r="60" customFormat="false" ht="15" hidden="false" customHeight="false" outlineLevel="0" collapsed="false">
      <c r="A60" s="6" t="s">
        <v>110</v>
      </c>
      <c r="B60" s="21" t="n">
        <f aca="false">B59/(B15*1000000000)</f>
        <v>0.003670016</v>
      </c>
      <c r="C60" s="8" t="s">
        <v>86</v>
      </c>
      <c r="D60" s="9" t="s">
        <v>111</v>
      </c>
    </row>
    <row r="61" customFormat="false" ht="15" hidden="false" customHeight="false" outlineLevel="0" collapsed="false">
      <c r="A61" s="6" t="s">
        <v>112</v>
      </c>
      <c r="B61" s="15" t="n">
        <f aca="false">B30*B31*B32*B55</f>
        <v>153600000</v>
      </c>
      <c r="C61" s="8" t="s">
        <v>49</v>
      </c>
      <c r="D61" s="9" t="s">
        <v>113</v>
      </c>
    </row>
    <row r="63" customFormat="false" ht="19.5" hidden="false" customHeight="true" outlineLevel="0" collapsed="false">
      <c r="A63" s="10" t="s">
        <v>114</v>
      </c>
      <c r="B63" s="10"/>
      <c r="C63" s="10"/>
      <c r="D63" s="10"/>
    </row>
    <row r="64" customFormat="false" ht="15" hidden="false" customHeight="false" outlineLevel="0" collapsed="false">
      <c r="A64" s="4" t="s">
        <v>3</v>
      </c>
      <c r="B64" s="5" t="s">
        <v>4</v>
      </c>
      <c r="C64" s="5" t="s">
        <v>5</v>
      </c>
      <c r="D64" s="4" t="s">
        <v>6</v>
      </c>
    </row>
    <row r="65" customFormat="false" ht="15" hidden="false" customHeight="false" outlineLevel="0" collapsed="false">
      <c r="A65" s="6" t="s">
        <v>115</v>
      </c>
      <c r="B65" s="15" t="n">
        <f aca="false">IF(B19="AdamW",18,14)</f>
        <v>18</v>
      </c>
      <c r="C65" s="8" t="s">
        <v>28</v>
      </c>
      <c r="D65" s="9" t="s">
        <v>116</v>
      </c>
    </row>
    <row r="66" customFormat="false" ht="15" hidden="false" customHeight="false" outlineLevel="0" collapsed="false">
      <c r="A66" s="6" t="s">
        <v>117</v>
      </c>
      <c r="B66" s="22" t="n">
        <f aca="false">B53*B15</f>
        <v>4.48</v>
      </c>
      <c r="C66" s="8" t="s">
        <v>75</v>
      </c>
      <c r="D66" s="9" t="s">
        <v>118</v>
      </c>
    </row>
    <row r="67" customFormat="false" ht="22.35" hidden="false" customHeight="false" outlineLevel="0" collapsed="false">
      <c r="A67" s="6" t="s">
        <v>119</v>
      </c>
      <c r="B67" s="22" t="n">
        <f aca="false">B65*B59/1000000000</f>
        <v>0.528482304</v>
      </c>
      <c r="C67" s="8" t="s">
        <v>75</v>
      </c>
      <c r="D67" s="9" t="s">
        <v>120</v>
      </c>
    </row>
    <row r="68" customFormat="false" ht="15" hidden="false" customHeight="false" outlineLevel="0" collapsed="false">
      <c r="A68" s="6" t="s">
        <v>121</v>
      </c>
      <c r="B68" s="22" t="n">
        <f aca="false">B52*2*B18</f>
        <v>0</v>
      </c>
      <c r="C68" s="8" t="s">
        <v>75</v>
      </c>
      <c r="D68" s="9" t="s">
        <v>122</v>
      </c>
    </row>
    <row r="69" customFormat="false" ht="15" hidden="false" customHeight="false" outlineLevel="0" collapsed="false">
      <c r="A69" s="6" t="s">
        <v>123</v>
      </c>
      <c r="B69" s="22" t="n">
        <f aca="false">B51*2*B15</f>
        <v>0</v>
      </c>
      <c r="C69" s="8" t="s">
        <v>75</v>
      </c>
      <c r="D69" s="9" t="s">
        <v>124</v>
      </c>
    </row>
    <row r="70" customFormat="false" ht="15" hidden="false" customHeight="false" outlineLevel="0" collapsed="false">
      <c r="A70" s="6" t="s">
        <v>125</v>
      </c>
      <c r="B70" s="22" t="n">
        <f aca="false">B34*B33*B17*2*IF(B35="On",4,18)*B16/1000000000</f>
        <v>1.073741824</v>
      </c>
      <c r="C70" s="8" t="s">
        <v>75</v>
      </c>
      <c r="D70" s="9" t="s">
        <v>126</v>
      </c>
    </row>
    <row r="71" customFormat="false" ht="15" hidden="false" customHeight="false" outlineLevel="0" collapsed="false">
      <c r="A71" s="6" t="s">
        <v>127</v>
      </c>
      <c r="B71" s="23" t="n">
        <f aca="false">B66+B67+B68+B69+B70</f>
        <v>6.082224128</v>
      </c>
      <c r="C71" s="8" t="s">
        <v>75</v>
      </c>
      <c r="D71" s="9" t="s">
        <v>128</v>
      </c>
    </row>
    <row r="72" customFormat="false" ht="15" hidden="false" customHeight="false" outlineLevel="0" collapsed="false">
      <c r="A72" s="6" t="s">
        <v>129</v>
      </c>
      <c r="B72" s="24" t="str">
        <f aca="false">IF(B71&lt;=B40*0.9,"YES","no — shard or reduce")</f>
        <v>YES</v>
      </c>
      <c r="C72" s="8"/>
      <c r="D72" s="9" t="s">
        <v>130</v>
      </c>
    </row>
    <row r="73" customFormat="false" ht="15" hidden="false" customHeight="false" outlineLevel="0" collapsed="false">
      <c r="A73" s="6" t="s">
        <v>131</v>
      </c>
      <c r="B73" s="15" t="n">
        <f aca="false">IF(B71&lt;=B40*0.9,1,ROUNDUP((B66+B67+B68+B69)/(B40*0.9-B70),0))</f>
        <v>1</v>
      </c>
      <c r="C73" s="8" t="s">
        <v>78</v>
      </c>
      <c r="D73" s="9" t="s">
        <v>132</v>
      </c>
    </row>
    <row r="74" customFormat="false" ht="15" hidden="false" customHeight="false" outlineLevel="0" collapsed="false">
      <c r="A74" s="6" t="s">
        <v>133</v>
      </c>
      <c r="B74" s="22" t="n">
        <f aca="false">(B66+B67+B68+B69)/B41+B70</f>
        <v>6.082224128</v>
      </c>
      <c r="C74" s="8" t="s">
        <v>75</v>
      </c>
      <c r="D74" s="9" t="s">
        <v>134</v>
      </c>
    </row>
    <row r="76" customFormat="false" ht="19.5" hidden="false" customHeight="true" outlineLevel="0" collapsed="false">
      <c r="A76" s="10" t="s">
        <v>135</v>
      </c>
      <c r="B76" s="10"/>
      <c r="C76" s="10"/>
      <c r="D76" s="10"/>
    </row>
    <row r="77" customFormat="false" ht="15" hidden="false" customHeight="false" outlineLevel="0" collapsed="false">
      <c r="A77" s="4" t="s">
        <v>3</v>
      </c>
      <c r="B77" s="5" t="s">
        <v>4</v>
      </c>
      <c r="C77" s="5" t="s">
        <v>5</v>
      </c>
      <c r="D77" s="4" t="s">
        <v>6</v>
      </c>
    </row>
    <row r="78" customFormat="false" ht="15" hidden="false" customHeight="false" outlineLevel="0" collapsed="false">
      <c r="A78" s="6" t="s">
        <v>136</v>
      </c>
      <c r="B78" s="25" t="n">
        <f aca="false">B54*B15*1000000000*B61+B52*2*B18*1000000000*B61</f>
        <v>7.18848E+018</v>
      </c>
      <c r="C78" s="8" t="s">
        <v>137</v>
      </c>
      <c r="D78" s="9" t="s">
        <v>138</v>
      </c>
    </row>
    <row r="79" customFormat="false" ht="15" hidden="false" customHeight="false" outlineLevel="0" collapsed="false">
      <c r="A79" s="6" t="s">
        <v>139</v>
      </c>
      <c r="B79" s="19" t="n">
        <f aca="false">IF(B10="FP8",B43,B42)</f>
        <v>2.5</v>
      </c>
      <c r="C79" s="8" t="s">
        <v>140</v>
      </c>
      <c r="D79" s="9" t="s">
        <v>141</v>
      </c>
    </row>
    <row r="80" customFormat="false" ht="15" hidden="false" customHeight="false" outlineLevel="0" collapsed="false">
      <c r="A80" s="6" t="s">
        <v>142</v>
      </c>
      <c r="B80" s="26" t="n">
        <f aca="false">B79*B44</f>
        <v>0.875</v>
      </c>
      <c r="C80" s="8" t="s">
        <v>140</v>
      </c>
      <c r="D80" s="9" t="s">
        <v>143</v>
      </c>
    </row>
    <row r="81" customFormat="false" ht="15" hidden="false" customHeight="false" outlineLevel="0" collapsed="false">
      <c r="A81" s="6" t="s">
        <v>144</v>
      </c>
      <c r="B81" s="15" t="n">
        <f aca="false">MAX(B41,B73)</f>
        <v>1</v>
      </c>
      <c r="C81" s="8" t="s">
        <v>78</v>
      </c>
      <c r="D81" s="9" t="s">
        <v>145</v>
      </c>
    </row>
    <row r="82" customFormat="false" ht="15" hidden="false" customHeight="false" outlineLevel="0" collapsed="false">
      <c r="A82" s="6" t="s">
        <v>146</v>
      </c>
      <c r="B82" s="23" t="n">
        <f aca="false">B78/(B81*B80*1000000000000000)/3600</f>
        <v>2.28205714285714</v>
      </c>
      <c r="C82" s="8" t="s">
        <v>147</v>
      </c>
      <c r="D82" s="9" t="s">
        <v>148</v>
      </c>
    </row>
    <row r="83" customFormat="false" ht="15" hidden="false" customHeight="false" outlineLevel="0" collapsed="false">
      <c r="A83" s="6" t="s">
        <v>149</v>
      </c>
      <c r="B83" s="22" t="n">
        <f aca="false">B82*B81</f>
        <v>2.28205714285714</v>
      </c>
      <c r="C83" s="8" t="s">
        <v>149</v>
      </c>
      <c r="D83" s="9" t="s">
        <v>150</v>
      </c>
    </row>
    <row r="85" customFormat="false" ht="19.5" hidden="false" customHeight="true" outlineLevel="0" collapsed="false">
      <c r="A85" s="10" t="s">
        <v>151</v>
      </c>
      <c r="B85" s="10"/>
      <c r="C85" s="10"/>
      <c r="D85" s="10"/>
    </row>
    <row r="86" customFormat="false" ht="15" hidden="false" customHeight="false" outlineLevel="0" collapsed="false">
      <c r="A86" s="4" t="s">
        <v>3</v>
      </c>
      <c r="B86" s="5" t="s">
        <v>4</v>
      </c>
      <c r="C86" s="5" t="s">
        <v>5</v>
      </c>
      <c r="D86" s="4" t="s">
        <v>6</v>
      </c>
    </row>
    <row r="87" customFormat="false" ht="15" hidden="false" customHeight="false" outlineLevel="0" collapsed="false">
      <c r="A87" s="6" t="s">
        <v>152</v>
      </c>
      <c r="B87" s="27" t="n">
        <f aca="false">IF(B49=1,B15*1000000000*2/1000000000,B59*2/1000000000)</f>
        <v>0.058720256</v>
      </c>
      <c r="C87" s="8" t="s">
        <v>75</v>
      </c>
      <c r="D87" s="9" t="s">
        <v>153</v>
      </c>
    </row>
    <row r="88" customFormat="false" ht="15" hidden="false" customHeight="false" outlineLevel="0" collapsed="false">
      <c r="A88" s="6" t="s">
        <v>154</v>
      </c>
      <c r="B88" s="22" t="n">
        <f aca="false">B15*1000000000*2/1000000000</f>
        <v>16</v>
      </c>
      <c r="C88" s="8" t="s">
        <v>75</v>
      </c>
      <c r="D88" s="9" t="s">
        <v>155</v>
      </c>
    </row>
    <row r="89" customFormat="false" ht="15" hidden="false" customHeight="false" outlineLevel="0" collapsed="false">
      <c r="A89" s="6" t="s">
        <v>156</v>
      </c>
      <c r="B89" s="22" t="n">
        <f aca="false">B61/B32*2/1000000000</f>
        <v>0.1024</v>
      </c>
      <c r="C89" s="8" t="s">
        <v>75</v>
      </c>
      <c r="D89" s="9" t="s">
        <v>157</v>
      </c>
    </row>
    <row r="91" customFormat="false" ht="19.5" hidden="false" customHeight="true" outlineLevel="0" collapsed="false">
      <c r="A91" s="10" t="s">
        <v>158</v>
      </c>
      <c r="B91" s="10"/>
      <c r="C91" s="10"/>
      <c r="D91" s="10"/>
    </row>
    <row r="92" customFormat="false" ht="15" hidden="false" customHeight="false" outlineLevel="0" collapsed="false">
      <c r="A92" s="4" t="s">
        <v>3</v>
      </c>
      <c r="B92" s="5" t="s">
        <v>4</v>
      </c>
      <c r="C92" s="5" t="s">
        <v>5</v>
      </c>
      <c r="D92" s="4" t="s">
        <v>6</v>
      </c>
    </row>
    <row r="93" customFormat="false" ht="15" hidden="false" customHeight="false" outlineLevel="0" collapsed="false">
      <c r="A93" s="6" t="s">
        <v>159</v>
      </c>
      <c r="B93" s="22" t="n">
        <f aca="false">B81*B45/1000</f>
        <v>1.4</v>
      </c>
      <c r="C93" s="8" t="s">
        <v>160</v>
      </c>
      <c r="D93" s="9" t="s">
        <v>161</v>
      </c>
    </row>
    <row r="94" customFormat="false" ht="15" hidden="false" customHeight="false" outlineLevel="0" collapsed="false">
      <c r="A94" s="6" t="s">
        <v>162</v>
      </c>
      <c r="B94" s="22" t="n">
        <f aca="false">B93*B82</f>
        <v>3.19488</v>
      </c>
      <c r="C94" s="8" t="s">
        <v>163</v>
      </c>
      <c r="D94" s="9" t="s">
        <v>164</v>
      </c>
    </row>
    <row r="96" customFormat="false" ht="19.5" hidden="false" customHeight="true" outlineLevel="0" collapsed="false">
      <c r="A96" s="10" t="s">
        <v>165</v>
      </c>
      <c r="B96" s="10"/>
      <c r="C96" s="10"/>
      <c r="D96" s="10"/>
    </row>
    <row r="97" customFormat="false" ht="15" hidden="false" customHeight="false" outlineLevel="0" collapsed="false">
      <c r="A97" s="4" t="s">
        <v>3</v>
      </c>
      <c r="B97" s="5" t="s">
        <v>4</v>
      </c>
      <c r="C97" s="5" t="s">
        <v>5</v>
      </c>
      <c r="D97" s="4" t="s">
        <v>6</v>
      </c>
    </row>
    <row r="98" customFormat="false" ht="15" hidden="false" customHeight="false" outlineLevel="0" collapsed="false">
      <c r="A98" s="6" t="s">
        <v>166</v>
      </c>
      <c r="B98" s="24" t="str">
        <f aca="false">IF(B71&lt;=B40*0.9,"Fits on 1 "&amp;B11,"Needs "&amp;B73&amp;" GPUs (or switch to QLoRA / smaller rank / shorter seq)")</f>
        <v>Fits on 1 B300 (288GB)</v>
      </c>
      <c r="C98" s="8"/>
      <c r="D98" s="9" t="s">
        <v>167</v>
      </c>
    </row>
    <row r="99" customFormat="false" ht="15" hidden="false" customHeight="false" outlineLevel="0" collapsed="false">
      <c r="A99" s="6" t="s">
        <v>168</v>
      </c>
      <c r="B99" s="28" t="n">
        <f aca="false">1-B71/(18*B15+B70+B68)</f>
        <v>0.958074948288169</v>
      </c>
      <c r="C99" s="8" t="s">
        <v>86</v>
      </c>
      <c r="D99" s="9" t="s">
        <v>169</v>
      </c>
    </row>
    <row r="100" customFormat="false" ht="22.35" hidden="false" customHeight="true" outlineLevel="0" collapsed="false">
      <c r="A100" s="6" t="s">
        <v>7</v>
      </c>
      <c r="B100" s="24" t="s">
        <v>170</v>
      </c>
      <c r="C100" s="29" t="s">
        <v>171</v>
      </c>
      <c r="D100" s="29"/>
    </row>
    <row r="101" customFormat="false" ht="22.35" hidden="false" customHeight="true" outlineLevel="0" collapsed="false">
      <c r="A101" s="6" t="s">
        <v>172</v>
      </c>
      <c r="B101" s="24" t="s">
        <v>173</v>
      </c>
      <c r="C101" s="29" t="s">
        <v>174</v>
      </c>
      <c r="D101" s="29"/>
    </row>
    <row r="102" customFormat="false" ht="15" hidden="false" customHeight="true" outlineLevel="0" collapsed="false">
      <c r="A102" s="6" t="s">
        <v>175</v>
      </c>
      <c r="B102" s="24" t="s">
        <v>176</v>
      </c>
      <c r="C102" s="29" t="s">
        <v>177</v>
      </c>
      <c r="D102" s="29"/>
    </row>
    <row r="103" customFormat="false" ht="22.35" hidden="false" customHeight="true" outlineLevel="0" collapsed="false">
      <c r="A103" s="6" t="s">
        <v>178</v>
      </c>
      <c r="B103" s="24" t="s">
        <v>179</v>
      </c>
      <c r="C103" s="29" t="s">
        <v>180</v>
      </c>
      <c r="D103" s="29"/>
    </row>
    <row r="104" customFormat="false" ht="15" hidden="false" customHeight="true" outlineLevel="0" collapsed="false">
      <c r="A104" s="6" t="s">
        <v>181</v>
      </c>
      <c r="B104" s="24" t="s">
        <v>182</v>
      </c>
      <c r="C104" s="29" t="s">
        <v>183</v>
      </c>
      <c r="D104" s="29"/>
    </row>
    <row r="105" customFormat="false" ht="22.35" hidden="false" customHeight="true" outlineLevel="0" collapsed="false">
      <c r="A105" s="6" t="s">
        <v>184</v>
      </c>
      <c r="B105" s="24" t="s">
        <v>185</v>
      </c>
      <c r="C105" s="29" t="s">
        <v>186</v>
      </c>
      <c r="D105" s="29"/>
    </row>
    <row r="106" customFormat="false" ht="22.35" hidden="false" customHeight="true" outlineLevel="0" collapsed="false">
      <c r="A106" s="6" t="s">
        <v>187</v>
      </c>
      <c r="B106" s="24" t="s">
        <v>188</v>
      </c>
      <c r="C106" s="29" t="s">
        <v>189</v>
      </c>
      <c r="D106" s="29"/>
    </row>
    <row r="107" customFormat="false" ht="15" hidden="false" customHeight="true" outlineLevel="0" collapsed="false">
      <c r="A107" s="6" t="s">
        <v>14</v>
      </c>
      <c r="B107" s="24" t="s">
        <v>190</v>
      </c>
      <c r="C107" s="29" t="s">
        <v>191</v>
      </c>
      <c r="D107" s="29"/>
    </row>
    <row r="109" customFormat="false" ht="19.5" hidden="false" customHeight="true" outlineLevel="0" collapsed="false">
      <c r="A109" s="10" t="s">
        <v>192</v>
      </c>
      <c r="B109" s="10"/>
      <c r="C109" s="10"/>
      <c r="D109" s="10"/>
    </row>
    <row r="110" customFormat="false" ht="27.75" hidden="false" customHeight="true" outlineLevel="0" collapsed="false">
      <c r="A110" s="30" t="s">
        <v>193</v>
      </c>
      <c r="B110" s="30"/>
      <c r="C110" s="30"/>
      <c r="D110" s="30"/>
    </row>
    <row r="111" customFormat="false" ht="27.75" hidden="false" customHeight="true" outlineLevel="0" collapsed="false">
      <c r="A111" s="30" t="s">
        <v>194</v>
      </c>
      <c r="B111" s="30"/>
      <c r="C111" s="30"/>
      <c r="D111" s="30"/>
    </row>
    <row r="112" customFormat="false" ht="27.75" hidden="false" customHeight="true" outlineLevel="0" collapsed="false">
      <c r="A112" s="31" t="s">
        <v>195</v>
      </c>
      <c r="B112" s="31"/>
      <c r="C112" s="31"/>
      <c r="D112" s="31"/>
    </row>
    <row r="113" customFormat="false" ht="27.75" hidden="false" customHeight="true" outlineLevel="0" collapsed="false">
      <c r="A113" s="31" t="s">
        <v>196</v>
      </c>
      <c r="B113" s="31"/>
      <c r="C113" s="31"/>
      <c r="D113" s="31"/>
    </row>
    <row r="114" customFormat="false" ht="27.75" hidden="false" customHeight="true" outlineLevel="0" collapsed="false">
      <c r="A114" s="31" t="s">
        <v>197</v>
      </c>
      <c r="B114" s="31"/>
      <c r="C114" s="31"/>
      <c r="D114" s="31"/>
    </row>
    <row r="115" customFormat="false" ht="27.75" hidden="false" customHeight="true" outlineLevel="0" collapsed="false">
      <c r="A115" s="31" t="s">
        <v>198</v>
      </c>
      <c r="B115" s="31"/>
      <c r="C115" s="31"/>
      <c r="D115" s="31"/>
    </row>
    <row r="116" customFormat="false" ht="27.75" hidden="false" customHeight="true" outlineLevel="0" collapsed="false">
      <c r="A116" s="31" t="s">
        <v>199</v>
      </c>
      <c r="B116" s="31"/>
      <c r="C116" s="31"/>
      <c r="D116" s="31"/>
    </row>
    <row r="117" customFormat="false" ht="27.75" hidden="false" customHeight="true" outlineLevel="0" collapsed="false">
      <c r="A117" s="31" t="s">
        <v>200</v>
      </c>
      <c r="B117" s="31"/>
      <c r="C117" s="31"/>
      <c r="D117" s="31"/>
    </row>
  </sheetData>
  <mergeCells count="31">
    <mergeCell ref="A1:D1"/>
    <mergeCell ref="A2:D2"/>
    <mergeCell ref="A4:D4"/>
    <mergeCell ref="A13:D13"/>
    <mergeCell ref="A21:D21"/>
    <mergeCell ref="A28:D28"/>
    <mergeCell ref="A38:D38"/>
    <mergeCell ref="A47:D47"/>
    <mergeCell ref="A57:D57"/>
    <mergeCell ref="A63:D63"/>
    <mergeCell ref="A76:D76"/>
    <mergeCell ref="A85:D85"/>
    <mergeCell ref="A91:D91"/>
    <mergeCell ref="A96:D96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</mergeCells>
  <dataValidations count="8">
    <dataValidation allowBlank="false" errorStyle="stop" operator="between" showDropDown="false" showErrorMessage="false" showInputMessage="false" sqref="B6" type="list">
      <formula1>"Full-FT,LoRA,QLoRA,DoRA,Prefix-tuning"</formula1>
      <formula2>0</formula2>
    </dataValidation>
    <dataValidation allowBlank="false" errorStyle="stop" operator="between" showDropDown="false" showErrorMessage="false" showInputMessage="false" sqref="B7" type="list">
      <formula1>"Text,Vision-VLM,Speech-gen-TTS,Transcription-ASR,Audio-understanding"</formula1>
      <formula2>0</formula2>
    </dataValidation>
    <dataValidation allowBlank="false" errorStyle="stop" operator="between" showDropDown="false" showErrorMessage="false" showInputMessage="false" sqref="B8" type="list">
      <formula1>"Instruction-SFT,Continued-pretrain,DPO,ORPO"</formula1>
      <formula2>0</formula2>
    </dataValidation>
    <dataValidation allowBlank="false" errorStyle="stop" operator="between" showDropDown="false" showErrorMessage="false" showInputMessage="false" sqref="B9" type="list">
      <formula1>"General,BFSI,Legal,Telco"</formula1>
      <formula2>0</formula2>
    </dataValidation>
    <dataValidation allowBlank="false" errorStyle="stop" operator="between" showDropDown="false" showErrorMessage="false" showInputMessage="false" sqref="B10" type="list">
      <formula1>"BF16,FP8"</formula1>
      <formula2>0</formula2>
    </dataValidation>
    <dataValidation allowBlank="false" errorStyle="stop" operator="between" showDropDown="false" showErrorMessage="false" showInputMessage="false" sqref="B11" type="list">
      <formula1>"B300 (288GB),H200 (141GB),H100 (80GB),A100 (40GB),L40S (48GB)"</formula1>
      <formula2>0</formula2>
    </dataValidation>
    <dataValidation allowBlank="false" errorStyle="stop" operator="between" showDropDown="false" showErrorMessage="false" showInputMessage="false" sqref="B19" type="list">
      <formula1>"AdamW,Muon"</formula1>
      <formula2>0</formula2>
    </dataValidation>
    <dataValidation allowBlank="false" errorStyle="stop" operator="between" showDropDown="false" showErrorMessage="false" showInputMessage="false" sqref="B35" type="list">
      <formula1>"On,Off"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2026-07-19T08:39:55Z</dcterms:created>
  <dc:creator>openpyxl</dc:creator>
  <dc:description/>
  <dc:language>en-US</dc:language>
  <cp:lastModifiedBy/>
  <dcterms:modified xsi:type="dcterms:W3CDTF">2026-07-19T08:39:55Z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