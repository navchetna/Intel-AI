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V &amp; VRAM Sizing" sheetId="1" state="visible" r:id="rId3"/>
    <sheet name="Cards" sheetId="2" state="visible" r:id="rId4"/>
    <sheet name="Method &amp; 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<sst xmlns="http://schemas.openxmlformats.org/spreadsheetml/2006/main" count="296" uniqueCount="184">
  <si>
    <t xml:space="preserve">Intel AI Model Catalog - KV-Cache &amp; VRAM Sizing</t>
  </si>
  <si>
    <t xml:space="preserve">KV cache computed with the vLLM load-time formula. Edit the YELLOW global levers; the whole table reflows. Architecture cells are also editable (verify the yellow-flagged ones).</t>
  </si>
  <si>
    <t xml:space="preserve">GLOBAL LEVERS</t>
  </si>
  <si>
    <t xml:space="preserve">Concurrency (parallel sequences)</t>
  </si>
  <si>
    <t xml:space="preserve">peak</t>
  </si>
  <si>
    <t xml:space="preserve">Input tokens / request</t>
  </si>
  <si>
    <t xml:space="preserve">prefill</t>
  </si>
  <si>
    <t xml:space="preserve">Output tokens / request</t>
  </si>
  <si>
    <t xml:space="preserve">decode</t>
  </si>
  <si>
    <t xml:space="preserve">Text sequence length</t>
  </si>
  <si>
    <t xml:space="preserve">input + output</t>
  </si>
  <si>
    <t xml:space="preserve">KV bytes / element</t>
  </si>
  <si>
    <t xml:space="preserve">FP16/BF16=2, FP8=1, INT4=0.5</t>
  </si>
  <si>
    <t xml:space="preserve">Paging / fragmentation overhead</t>
  </si>
  <si>
    <t xml:space="preserve">vLLM block waste</t>
  </si>
  <si>
    <t xml:space="preserve">Image note: 256x256 contributes per-model image tokens (col K) to the cached sequence for VLMs that fold vision tokens into the text stream. Llama-Vision uses cross-attention (fixed, separate) so its img tokens = 0 here.</t>
  </si>
  <si>
    <t xml:space="preserve">Model</t>
  </si>
  <si>
    <t xml:space="preserve">Category</t>
  </si>
  <si>
    <t xml:space="preserve">KV cache type</t>
  </si>
  <si>
    <t xml:space="preserve">Total layers</t>
  </si>
  <si>
    <t xml:space="preserve">Dense / self-attn layers</t>
  </si>
  <si>
    <t xml:space="preserve">Window layers</t>
  </si>
  <si>
    <t xml:space="preserve">Window size</t>
  </si>
  <si>
    <t xml:space="preserve">KV heads</t>
  </si>
  <si>
    <t xml:space="preserve">Head dim</t>
  </si>
  <si>
    <t xml:space="preserve">Image tokens</t>
  </si>
  <si>
    <t xml:space="preserve">Weight VRAM (GiB)</t>
  </si>
  <si>
    <t xml:space="preserve">KV bytes/tok/layer</t>
  </si>
  <si>
    <t xml:space="preserve">Cached token-layers/seq</t>
  </si>
  <si>
    <t xml:space="preserve">KV / seq (MiB)</t>
  </si>
  <si>
    <t xml:space="preserve">KV TOTAL @ concurrency (GiB)</t>
  </si>
  <si>
    <t xml:space="preserve">TOTAL VRAM (GiB)</t>
  </si>
  <si>
    <t xml:space="preserve">KV formula (instantiated)</t>
  </si>
  <si>
    <t xml:space="preserve">Prov</t>
  </si>
  <si>
    <t xml:space="preserve">Notes</t>
  </si>
  <si>
    <t xml:space="preserve">Smallest single card that fits</t>
  </si>
  <si>
    <t xml:space="preserve">dots.mocr</t>
  </si>
  <si>
    <t xml:space="preserve">OCR &amp; Document</t>
  </si>
  <si>
    <t xml:space="preserve">Decoder</t>
  </si>
  <si>
    <t xml:space="preserve">Y</t>
  </si>
  <si>
    <t xml:space="preserve">VLM; Qwen3-VL-4B backbone (arch inferred from base)</t>
  </si>
  <si>
    <t xml:space="preserve">GLM-OCR</t>
  </si>
  <si>
    <t xml:space="preserve">Enc-Dec</t>
  </si>
  <si>
    <t xml:space="preserve">Encoder-decoder; decoder-side KV only, output-length. Layers est.</t>
  </si>
  <si>
    <t xml:space="preserve">LightOnOCR-2-1B</t>
  </si>
  <si>
    <t xml:space="preserve">Mistral-based VLM decoder; layer/head est.</t>
  </si>
  <si>
    <t xml:space="preserve">InternVL3-8B</t>
  </si>
  <si>
    <t xml:space="preserve">Vision &amp; Multimodal</t>
  </si>
  <si>
    <t xml:space="preserve">G</t>
  </si>
  <si>
    <t xml:space="preserve">LLM = Qwen2.5-7B (28L, 4KV, hd128). +256 image tokens/tile</t>
  </si>
  <si>
    <t xml:space="preserve">Llama-3.2-11B-Vision-Instruct</t>
  </si>
  <si>
    <t xml:space="preserve">Cross-attn vision: image KV is separate &amp; fixed, NOT in text self-attn cache. img_tok=0 here</t>
  </si>
  <si>
    <t xml:space="preserve">Qwen3-VL-4B-Instruct</t>
  </si>
  <si>
    <t xml:space="preserve">Backbone Qwen3-4B (36L, 8KV, hd128)</t>
  </si>
  <si>
    <t xml:space="preserve">Cohere Transcribe 03-2026</t>
  </si>
  <si>
    <t xml:space="preserve">Speech &amp; Audio</t>
  </si>
  <si>
    <t xml:space="preserve">2026-dated ASR; architecture unverified. Enc-dec, small decoder KV</t>
  </si>
  <si>
    <t xml:space="preserve">Distil-Whisper large-v3</t>
  </si>
  <si>
    <t xml:space="preserve">Distilled: only 2 decoder layers. Decoder KV tiny; encoder is single-pass</t>
  </si>
  <si>
    <t xml:space="preserve">IndicConformer-600M-Multilingual</t>
  </si>
  <si>
    <t xml:space="preserve">None</t>
  </si>
  <si>
    <t xml:space="preserve">Conformer CTC/RNN-T: non-autoregressive encoder. NO KV cache</t>
  </si>
  <si>
    <t xml:space="preserve">Orpheus-3B-0.1-ft</t>
  </si>
  <si>
    <t xml:space="preserve">TTS: autoregressive Llama-3.2-3B backbone. seq = AUDIO tokens (can be long); text-token assumption is a proxy</t>
  </si>
  <si>
    <t xml:space="preserve">pyannote speaker-diarization</t>
  </si>
  <si>
    <t xml:space="preserve">Segmentation + embedding + clustering pipeline. NO KV cache</t>
  </si>
  <si>
    <t xml:space="preserve">Silero VAD v5</t>
  </si>
  <si>
    <t xml:space="preserve">LSTM VAD. NO KV cache</t>
  </si>
  <si>
    <t xml:space="preserve">TEN VAD</t>
  </si>
  <si>
    <t xml:space="preserve">Tiny streaming NN VAD (ONNX/C). NO KV cache</t>
  </si>
  <si>
    <t xml:space="preserve">IndicTrans2 En-&gt;Indic 1B</t>
  </si>
  <si>
    <t xml:space="preserve">Translation</t>
  </si>
  <si>
    <t xml:space="preserve">18enc/18dec Transformer, MHA. Decoder KV over output tokens; +encoder cross-attn (fixed)</t>
  </si>
  <si>
    <t xml:space="preserve">IndicTrans2 Indic-&gt;En 1B</t>
  </si>
  <si>
    <t xml:space="preserve">18enc/18dec Transformer, MHA. Decoder KV over output tokens</t>
  </si>
  <si>
    <t xml:space="preserve">IndicTrans2 Indic-&gt;Indic 1B</t>
  </si>
  <si>
    <t xml:space="preserve">Sarvam Translate</t>
  </si>
  <si>
    <t xml:space="preserve">Gemma-based (arch assumed Gemma-3-4B-like). Verify</t>
  </si>
  <si>
    <t xml:space="preserve">BGE-large-en-v1.5</t>
  </si>
  <si>
    <t xml:space="preserve">Embeddings &amp; Retrieval</t>
  </si>
  <si>
    <t xml:space="preserve">BERT bi-encoder. Single forward pass. NO KV cache</t>
  </si>
  <si>
    <t xml:space="preserve">BGE-M3</t>
  </si>
  <si>
    <t xml:space="preserve">XLM-R encoder. NO KV cache</t>
  </si>
  <si>
    <t xml:space="preserve">BGE-reranker-v2-m3</t>
  </si>
  <si>
    <t xml:space="preserve">XLM-R cross-encoder. Single pass over pair. NO KV cache</t>
  </si>
  <si>
    <t xml:space="preserve">ColPali / ColVision Family</t>
  </si>
  <si>
    <t xml:space="preserve">Multi-vector late-interaction retriever. No autoregressive decode. NO KV cache</t>
  </si>
  <si>
    <t xml:space="preserve">jina-reranker-v2-base-multilingual</t>
  </si>
  <si>
    <t xml:space="preserve">XLM-R cross-encoder. NO KV cache</t>
  </si>
  <si>
    <t xml:space="preserve">Semantic Router</t>
  </si>
  <si>
    <t xml:space="preserve">MiniLM encoder + similarity routing. NO KV cache</t>
  </si>
  <si>
    <t xml:space="preserve">Granite-Guardian-3.0-2B</t>
  </si>
  <si>
    <t xml:space="preserve">Safety &amp; Guardrails</t>
  </si>
  <si>
    <t xml:space="preserve">Granite 3.0 2B classifier (arch est). Short output, but caches full prompt</t>
  </si>
  <si>
    <t xml:space="preserve">Llama-Guard-3-8B</t>
  </si>
  <si>
    <t xml:space="preserve">Llama 3.1 8B (32L, 8KV, hd128). Caches full prompt even for short verdict</t>
  </si>
  <si>
    <t xml:space="preserve">openai/privacy-filter</t>
  </si>
  <si>
    <t xml:space="preserve">Token-classification/NER (encoder). NO autoregressive KV cache</t>
  </si>
  <si>
    <t xml:space="preserve">Qwen3Guard-Gen-4B</t>
  </si>
  <si>
    <t xml:space="preserve">Qwen3-4B classifier (36L, 8KV, hd128)</t>
  </si>
  <si>
    <t xml:space="preserve">ShieldGemma-2B</t>
  </si>
  <si>
    <t xml:space="preserve">Gemma 2 2B: alternating sliding(4096)/global, 4KV, hd256</t>
  </si>
  <si>
    <t xml:space="preserve">Gemma 4 26B-A4B-IT</t>
  </si>
  <si>
    <t xml:space="preserve">LLM</t>
  </si>
  <si>
    <t xml:space="preserve">Hybrid</t>
  </si>
  <si>
    <t xml:space="preserve">MoE. 26 sliding(4096)/4 global layers. hd256 sliding / 512 global. Model card verified this session</t>
  </si>
  <si>
    <t xml:space="preserve">Gemma-3-4B-it</t>
  </si>
  <si>
    <t xml:space="preserve">5:1 local:global. Sliding window 1024, 4KV, hd256</t>
  </si>
  <si>
    <t xml:space="preserve">Gemma-4-E4B-it</t>
  </si>
  <si>
    <t xml:space="preserve">Elastic/MatFormer 4B (arch assumed Gemma-3-4B-like). Verify</t>
  </si>
  <si>
    <t xml:space="preserve">GPT-OSS-120B</t>
  </si>
  <si>
    <t xml:space="preserve">MoE. 18 dense / 18 banded(128) layers, 8KV, hd64. Model card 2508.10925</t>
  </si>
  <si>
    <t xml:space="preserve">LFM2.5-1.2B-Instruct</t>
  </si>
  <si>
    <t xml:space="preserve">Liquid hybrid: mostly conv blocks, ~6 attention layers. KV far smaller than a dense transformer</t>
  </si>
  <si>
    <t xml:space="preserve">Llama 3.3 70B Instruct</t>
  </si>
  <si>
    <t xml:space="preserve">80L, 64Q/8KV, hd128</t>
  </si>
  <si>
    <t xml:space="preserve">Llama-3.2-1B-it</t>
  </si>
  <si>
    <t xml:space="preserve">16L, 32Q/8KV, hd64</t>
  </si>
  <si>
    <t xml:space="preserve">Llama-3.2-8B-it</t>
  </si>
  <si>
    <t xml:space="preserve">No such model; treated as Llama 3.1 8B (32L, 8KV, hd128). Verify name</t>
  </si>
  <si>
    <t xml:space="preserve">Qwen3-30B-A3B</t>
  </si>
  <si>
    <t xml:space="preserve">MoE 128e/8act. 48L, 32Q/4KV, hd128 (HF verified)</t>
  </si>
  <si>
    <t xml:space="preserve">Qwen3.5-4B</t>
  </si>
  <si>
    <t xml:space="preserve">2026-dated. Assumed Qwen3-4B arch (36L, 8KV, hd128). Verify</t>
  </si>
  <si>
    <t xml:space="preserve">Qwen3.6-27B</t>
  </si>
  <si>
    <t xml:space="preserve">2026-dated dense. Layer count estimated. Verify</t>
  </si>
  <si>
    <t xml:space="preserve">Sarvam-105B</t>
  </si>
  <si>
    <t xml:space="preserve">2026-dated MoE. Architecture UNVERIFIED - placeholder arch. Do not assert externally</t>
  </si>
  <si>
    <t xml:space="preserve">Sarvam-30B</t>
  </si>
  <si>
    <t xml:space="preserve">2026-dated MoE (~2.4B active). Architecture UNVERIFIED - placeholder arch</t>
  </si>
  <si>
    <t xml:space="preserve">Accelerator reference (usable = capacity x 90%)</t>
  </si>
  <si>
    <t xml:space="preserve">Accelerator</t>
  </si>
  <si>
    <t xml:space="preserve">HBM/VRAM (GiB)</t>
  </si>
  <si>
    <t xml:space="preserve">Util cap</t>
  </si>
  <si>
    <t xml:space="preserve">Usable (GiB)</t>
  </si>
  <si>
    <t xml:space="preserve">Intel Arc Pro B60 24GB</t>
  </si>
  <si>
    <t xml:space="preserve">Edge/workstation; TP for larger models</t>
  </si>
  <si>
    <t xml:space="preserve">NVIDIA L40S 48GB</t>
  </si>
  <si>
    <t xml:space="preserve">PCIe datacenter</t>
  </si>
  <si>
    <t xml:space="preserve">NVIDIA H100 SXM 80GB</t>
  </si>
  <si>
    <t xml:space="preserve">Datacenter standard</t>
  </si>
  <si>
    <t xml:space="preserve">Intel Gaudi 3 128GB</t>
  </si>
  <si>
    <t xml:space="preserve">vLLM-fork; large single-card KV budget</t>
  </si>
  <si>
    <t xml:space="preserve">NVIDIA H200 141GB</t>
  </si>
  <si>
    <t xml:space="preserve">Large single-card home</t>
  </si>
  <si>
    <t xml:space="preserve">NVIDIA B200 180GB</t>
  </si>
  <si>
    <t xml:space="preserve">Blackwell</t>
  </si>
  <si>
    <t xml:space="preserve">AMD MI300X 192GB</t>
  </si>
  <si>
    <t xml:space="preserve">Largest single-card capacity</t>
  </si>
  <si>
    <t xml:space="preserve">Sorted ascending by capacity so the smallest-fit lookup on the sizing sheet works. Add cards in ascending order and extend ranges $A$3:$A$9 / $D$3:$D$9 if you add rows.</t>
  </si>
  <si>
    <t xml:space="preserve">Method, formula &amp; legend</t>
  </si>
  <si>
    <t xml:space="preserve">The vLLM load-time KV formula</t>
  </si>
  <si>
    <t xml:space="preserve">At init, vLLM computes bytes per token per layer = 2 x num_kv_heads x head_dim x dtype_bytes. The 2 is K and V.</t>
  </si>
  <si>
    <t xml:space="preserve">It then multiplies by cached token-layers and by concurrent sequences, and allocates that as paged blocks</t>
  </si>
  <si>
    <t xml:space="preserve">(default block_size = 16 tokens). Total KV = 2 x n_kv_heads x head_dim x bytes x layers x seq_len x num_seqs.</t>
  </si>
  <si>
    <t xml:space="preserve">This workbook mirrors that: bytes/tok/layer (col L) x cached token-layers/seq (col M) x concurrency x (1+overhead).</t>
  </si>
  <si>
    <t xml:space="preserve">KV cache TYPE - why most catalog models show zero</t>
  </si>
  <si>
    <t xml:space="preserve">Decoder  : autoregressive decoder-only transformer. Full KV cache over the whole context. Formula applies directly.</t>
  </si>
  <si>
    <t xml:space="preserve">Hybrid   : decoder with sliding-window (banded) + global layers (GPT-OSS, Gemma 3/4) OR conv+attention (LFM2). Dense</t>
  </si>
  <si>
    <t xml:space="preserve">           layers cache the full sequence; window layers cache only min(seq, window). This is the big KV saver at long context.</t>
  </si>
  <si>
    <t xml:space="preserve">Enc-Dec  : encoder-decoder (Whisper, IndicTrans2, GLM-OCR). The encoder is single-pass (no KV cache); the decoder caches</t>
  </si>
  <si>
    <t xml:space="preserve">           only its own generated tokens (output length), plus fixed cross-attention to encoder states. KV is small.</t>
  </si>
  <si>
    <t xml:space="preserve">None     : encoder-only or non-transformer - embeddings (BGE), rerankers/cross-encoders, NER, CTC-ASR (Conformer),</t>
  </si>
  <si>
    <t xml:space="preserve">           VAD, diarization. One forward pass, no autoregressive decode =&gt; NO KV cache at all. VRAM = weights + activations.</t>
  </si>
  <si>
    <t xml:space="preserve">Sliding-window caveat</t>
  </si>
  <si>
    <t xml:space="preserve">Window-layer saving is only realised if the serving engine implements window-aware KV allocation (recent vLLM, TRT-LLM).</t>
  </si>
  <si>
    <t xml:space="preserve">If it does not, set Window layers = 0 and move that count into Dense layers to get the worst-case (full-cache) number.</t>
  </si>
  <si>
    <t xml:space="preserve">Weights &amp; MoE caveat</t>
  </si>
  <si>
    <t xml:space="preserve">Weight VRAM is the headline figure from the catalog at the stated dtype (BF16 unless a native quant is noted; MXFP4 for</t>
  </si>
  <si>
    <t xml:space="preserve">GPT-OSS, FP8 for Sarvam-105B). For MoE models ALL experts must be resident in VRAM even though only a few activate per</t>
  </si>
  <si>
    <t xml:space="preserve">token - so weight memory tracks TOTAL params, not active. KV cache is unaffected by MoE (attention is dense).</t>
  </si>
  <si>
    <t xml:space="preserve">Not modelled: CUDA/HPU graphs, NCCL buffers, activation peak, speculative-decode drafts, prefix-cache reuse. Add ~1-4 GiB.</t>
  </si>
  <si>
    <t xml:space="preserve">Concurrency lever</t>
  </si>
  <si>
    <t xml:space="preserve">KV TOTAL scales linearly with concurrency (col C5). Double the users -&gt; double the KV GiB; weights are unchanged. So the</t>
  </si>
  <si>
    <t xml:space="preserve">'smallest card that fits' can jump as you raise concurrency, while weight-dominated small models barely move.</t>
  </si>
  <si>
    <t xml:space="preserve">Provenance legend</t>
  </si>
  <si>
    <t xml:space="preserve">G (green)  = architecture verified from model card / HF config, or well-established.</t>
  </si>
  <si>
    <t xml:space="preserve">Y (yellow) = estimate or inferred from a base model / speculative 2026 release. VERIFY before external use. Yellow-filled</t>
  </si>
  <si>
    <t xml:space="preserve">             architecture cells are the ones to confirm against the real config.json.</t>
  </si>
  <si>
    <t xml:space="preserve">N (grey)   = no KV cache; sizing is weight-driven.</t>
  </si>
  <si>
    <t xml:space="preserve">Specific flags: Llama-3.2-8B is not a real Meta model (treated as Llama 3.1 8B). Gemma-4 / Qwen3.5 / Qwen3.6 / Sarvam</t>
  </si>
  <si>
    <t xml:space="preserve">105B &amp; 30B / Cohere Transcribe / openai privacy-filter / dots.mocr are 2026-dated or base-inferred - architecture placeholders.</t>
  </si>
  <si>
    <t xml:space="preserve">Gemma 4 global layers use head_dim 512 (not 256); this model's KV is approximated with the sliding head_dim - verify if it matters.</t>
  </si>
  <si>
    <t xml:space="preserve">Orpheus TTS sequence is audio-codec tokens, not text; the 4K/1K text assumption is a rough proxy.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</si>
</sst>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.0%"/>
    <numFmt numFmtId="168" formatCode="#,##0.00"/>
    <numFmt numFmtId="169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44546A"/>
        <bgColor rgb="FF666666"/>
      </patternFill>
    </fill>
    <fill>
      <patternFill patternType="solid">
        <fgColor rgb="FFE2EFDA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7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46"/>
    <col collapsed="false" customWidth="true" hidden="false" outlineLevel="0" max="18" min="18" style="0" width="5"/>
    <col collapsed="false" customWidth="true" hidden="false" outlineLevel="0" max="19" min="19" style="0" width="60"/>
    <col collapsed="false" customWidth="true" hidden="false" outlineLevel="0" max="21" min="21" style="0" width="2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C5" s="6" t="n">
        <v>16</v>
      </c>
      <c r="D5" s="2" t="s">
        <v>4</v>
      </c>
    </row>
    <row r="6" customFormat="false" ht="15" hidden="false" customHeight="false" outlineLevel="0" collapsed="false">
      <c r="A6" s="5" t="s">
        <v>5</v>
      </c>
      <c r="C6" s="6" t="n">
        <v>4096</v>
      </c>
      <c r="D6" s="2" t="s">
        <v>6</v>
      </c>
    </row>
    <row r="7" customFormat="false" ht="15" hidden="false" customHeight="false" outlineLevel="0" collapsed="false">
      <c r="A7" s="5" t="s">
        <v>7</v>
      </c>
      <c r="C7" s="6" t="n">
        <v>1024</v>
      </c>
      <c r="D7" s="2" t="s">
        <v>8</v>
      </c>
    </row>
    <row r="8" customFormat="false" ht="15" hidden="false" customHeight="false" outlineLevel="0" collapsed="false">
      <c r="A8" s="5" t="s">
        <v>9</v>
      </c>
      <c r="C8" s="7" t="n">
        <f aca="false">C6+C7</f>
        <v>5120</v>
      </c>
      <c r="D8" s="2" t="s">
        <v>10</v>
      </c>
    </row>
    <row r="9" customFormat="false" ht="15" hidden="false" customHeight="false" outlineLevel="0" collapsed="false">
      <c r="A9" s="5" t="s">
        <v>11</v>
      </c>
      <c r="C9" s="8" t="n">
        <v>2</v>
      </c>
      <c r="D9" s="2" t="s">
        <v>12</v>
      </c>
    </row>
    <row r="10" customFormat="false" ht="15" hidden="false" customHeight="false" outlineLevel="0" collapsed="false">
      <c r="A10" s="5" t="s">
        <v>13</v>
      </c>
      <c r="C10" s="9" t="n">
        <v>0.1</v>
      </c>
      <c r="D10" s="2" t="s">
        <v>14</v>
      </c>
    </row>
    <row r="11" customFormat="false" ht="15" hidden="false" customHeight="false" outlineLevel="0" collapsed="false">
      <c r="A11" s="2" t="s">
        <v>15</v>
      </c>
    </row>
    <row r="13" customFormat="false" ht="32.8" hidden="false" customHeight="false" outlineLevel="0" collapsed="false">
      <c r="A13" s="10" t="s">
        <v>16</v>
      </c>
      <c r="B13" s="10" t="s">
        <v>17</v>
      </c>
      <c r="C13" s="10" t="s">
        <v>18</v>
      </c>
      <c r="D13" s="10" t="s">
        <v>19</v>
      </c>
      <c r="E13" s="10" t="s">
        <v>20</v>
      </c>
      <c r="F13" s="10" t="s">
        <v>21</v>
      </c>
      <c r="G13" s="10" t="s">
        <v>22</v>
      </c>
      <c r="H13" s="10" t="s">
        <v>23</v>
      </c>
      <c r="I13" s="10" t="s">
        <v>24</v>
      </c>
      <c r="J13" s="10" t="s">
        <v>25</v>
      </c>
      <c r="K13" s="10" t="s">
        <v>26</v>
      </c>
      <c r="L13" s="10" t="s">
        <v>27</v>
      </c>
      <c r="M13" s="10" t="s">
        <v>28</v>
      </c>
      <c r="N13" s="10" t="s">
        <v>29</v>
      </c>
      <c r="O13" s="10" t="s">
        <v>30</v>
      </c>
      <c r="P13" s="10" t="s">
        <v>31</v>
      </c>
      <c r="Q13" s="10" t="s">
        <v>32</v>
      </c>
      <c r="R13" s="10" t="s">
        <v>33</v>
      </c>
      <c r="S13" s="10" t="s">
        <v>34</v>
      </c>
      <c r="U13" s="10" t="s">
        <v>35</v>
      </c>
    </row>
    <row r="14" customFormat="false" ht="22.35" hidden="false" customHeight="false" outlineLevel="0" collapsed="false">
      <c r="A14" s="11" t="s">
        <v>36</v>
      </c>
      <c r="B14" s="12" t="s">
        <v>37</v>
      </c>
      <c r="C14" s="13" t="s">
        <v>38</v>
      </c>
      <c r="D14" s="6" t="n">
        <v>36</v>
      </c>
      <c r="E14" s="6" t="n">
        <v>36</v>
      </c>
      <c r="F14" s="6" t="n">
        <v>0</v>
      </c>
      <c r="G14" s="6" t="n">
        <v>0</v>
      </c>
      <c r="H14" s="6" t="n">
        <v>8</v>
      </c>
      <c r="I14" s="6" t="n">
        <v>128</v>
      </c>
      <c r="J14" s="6" t="n">
        <v>256</v>
      </c>
      <c r="K14" s="8" t="n">
        <v>7</v>
      </c>
      <c r="L14" s="7" t="n">
        <f aca="false">IF(C14="None",0,2*H14*I14*$C$9)</f>
        <v>4096</v>
      </c>
      <c r="M14" s="7" t="n">
        <f aca="false">IF(C14="None",0,IF(C14="Enc-Dec",E14*($C$7+J14),E14*($C$8+J14)+F14*MIN($C$8+J14,G14)))</f>
        <v>193536</v>
      </c>
      <c r="N14" s="14" t="n">
        <f aca="false">L14*M14/1048576</f>
        <v>756</v>
      </c>
      <c r="O14" s="15" t="n">
        <f aca="false">L14*M14*$C$5*(1+$C$10)/1073741824</f>
        <v>12.99375</v>
      </c>
      <c r="P14" s="16" t="n">
        <f aca="false">K14+O14</f>
        <v>19.99375</v>
      </c>
      <c r="Q14" s="17" t="str">
        <f aca="false">IF(C14="None","no KV cache (single-pass encoder)",IF(C14="Enc-Dec","2 x "&amp;E14&amp;" dec-L x "&amp;H14&amp;" kv x "&amp;I14&amp;" hd x "&amp;$C$9&amp;"B x ("&amp;$C$7&amp;"+"&amp;J14&amp;"img) out-tok x "&amp;$C$5&amp;" seq","2 x ("&amp;E14&amp;"+"&amp;F14&amp;"w) L x "&amp;H14&amp;" kv x "&amp;I14&amp;" hd x "&amp;$C$9&amp;"B x ("&amp;$C$8&amp;"+"&amp;J14&amp;"img) tok x "&amp;$C$5&amp;" seq"))</f>
        <v>2 x (36+0w) L x 8 kv x 128 hd x 2B x (5120+256img) tok x 16 seq</v>
      </c>
      <c r="R14" s="18" t="s">
        <v>39</v>
      </c>
      <c r="S14" s="19" t="s">
        <v>40</v>
      </c>
      <c r="U14" s="12" t="str">
        <f aca="false">IF(P14&gt;Cards!$D$9,"multi-GPU / shard",IF(P14&lt;=Cards!$D$3,Cards!$A$3,INDEX(Cards!$A$3:$A$9,MATCH(P14,Cards!$D$3:$D$9,1)+1)))</f>
        <v>Intel Arc Pro B60 24GB</v>
      </c>
    </row>
    <row r="15" customFormat="false" ht="22.35" hidden="false" customHeight="false" outlineLevel="0" collapsed="false">
      <c r="A15" s="11" t="s">
        <v>41</v>
      </c>
      <c r="B15" s="12" t="s">
        <v>37</v>
      </c>
      <c r="C15" s="13" t="s">
        <v>42</v>
      </c>
      <c r="D15" s="6" t="n">
        <v>0</v>
      </c>
      <c r="E15" s="6" t="n">
        <v>24</v>
      </c>
      <c r="F15" s="6" t="n">
        <v>0</v>
      </c>
      <c r="G15" s="6" t="n">
        <v>0</v>
      </c>
      <c r="H15" s="6" t="n">
        <v>8</v>
      </c>
      <c r="I15" s="6" t="n">
        <v>128</v>
      </c>
      <c r="J15" s="6" t="n">
        <v>0</v>
      </c>
      <c r="K15" s="8" t="n">
        <v>1.8</v>
      </c>
      <c r="L15" s="7" t="n">
        <f aca="false">IF(C15="None",0,2*H15*I15*$C$9)</f>
        <v>4096</v>
      </c>
      <c r="M15" s="7" t="n">
        <f aca="false">IF(C15="None",0,IF(C15="Enc-Dec",E15*($C$7+J15),E15*($C$8+J15)+F15*MIN($C$8+J15,G15)))</f>
        <v>24576</v>
      </c>
      <c r="N15" s="14" t="n">
        <f aca="false">L15*M15/1048576</f>
        <v>96</v>
      </c>
      <c r="O15" s="15" t="n">
        <f aca="false">L15*M15*$C$5*(1+$C$10)/1073741824</f>
        <v>1.65</v>
      </c>
      <c r="P15" s="16" t="n">
        <f aca="false">K15+O15</f>
        <v>3.45</v>
      </c>
      <c r="Q15" s="17" t="str">
        <f aca="false">IF(C15="None","no KV cache (single-pass encoder)",IF(C15="Enc-Dec","2 x "&amp;E15&amp;" dec-L x "&amp;H15&amp;" kv x "&amp;I15&amp;" hd x "&amp;$C$9&amp;"B x ("&amp;$C$7&amp;"+"&amp;J15&amp;"img) out-tok x "&amp;$C$5&amp;" seq","2 x ("&amp;E15&amp;"+"&amp;F15&amp;"w) L x "&amp;H15&amp;" kv x "&amp;I15&amp;" hd x "&amp;$C$9&amp;"B x ("&amp;$C$8&amp;"+"&amp;J15&amp;"img) tok x "&amp;$C$5&amp;" seq"))</f>
        <v>2 x 24 dec-L x 8 kv x 128 hd x 2B x (1024+0img) out-tok x 16 seq</v>
      </c>
      <c r="R15" s="18" t="s">
        <v>39</v>
      </c>
      <c r="S15" s="19" t="s">
        <v>43</v>
      </c>
      <c r="U15" s="12" t="str">
        <f aca="false">IF(P15&gt;Cards!$D$9,"multi-GPU / shard",IF(P15&lt;=Cards!$D$3,Cards!$A$3,INDEX(Cards!$A$3:$A$9,MATCH(P15,Cards!$D$3:$D$9,1)+1)))</f>
        <v>Intel Arc Pro B60 24GB</v>
      </c>
    </row>
    <row r="16" customFormat="false" ht="22.35" hidden="false" customHeight="false" outlineLevel="0" collapsed="false">
      <c r="A16" s="11" t="s">
        <v>44</v>
      </c>
      <c r="B16" s="12" t="s">
        <v>37</v>
      </c>
      <c r="C16" s="13" t="s">
        <v>38</v>
      </c>
      <c r="D16" s="6" t="n">
        <v>24</v>
      </c>
      <c r="E16" s="6" t="n">
        <v>24</v>
      </c>
      <c r="F16" s="6" t="n">
        <v>0</v>
      </c>
      <c r="G16" s="6" t="n">
        <v>0</v>
      </c>
      <c r="H16" s="6" t="n">
        <v>8</v>
      </c>
      <c r="I16" s="6" t="n">
        <v>128</v>
      </c>
      <c r="J16" s="6" t="n">
        <v>256</v>
      </c>
      <c r="K16" s="8" t="n">
        <v>2</v>
      </c>
      <c r="L16" s="7" t="n">
        <f aca="false">IF(C16="None",0,2*H16*I16*$C$9)</f>
        <v>4096</v>
      </c>
      <c r="M16" s="7" t="n">
        <f aca="false">IF(C16="None",0,IF(C16="Enc-Dec",E16*($C$7+J16),E16*($C$8+J16)+F16*MIN($C$8+J16,G16)))</f>
        <v>129024</v>
      </c>
      <c r="N16" s="14" t="n">
        <f aca="false">L16*M16/1048576</f>
        <v>504</v>
      </c>
      <c r="O16" s="15" t="n">
        <f aca="false">L16*M16*$C$5*(1+$C$10)/1073741824</f>
        <v>8.6625</v>
      </c>
      <c r="P16" s="16" t="n">
        <f aca="false">K16+O16</f>
        <v>10.6625</v>
      </c>
      <c r="Q16" s="17" t="str">
        <f aca="false">IF(C16="None","no KV cache (single-pass encoder)",IF(C16="Enc-Dec","2 x "&amp;E16&amp;" dec-L x "&amp;H16&amp;" kv x "&amp;I16&amp;" hd x "&amp;$C$9&amp;"B x ("&amp;$C$7&amp;"+"&amp;J16&amp;"img) out-tok x "&amp;$C$5&amp;" seq","2 x ("&amp;E16&amp;"+"&amp;F16&amp;"w) L x "&amp;H16&amp;" kv x "&amp;I16&amp;" hd x "&amp;$C$9&amp;"B x ("&amp;$C$8&amp;"+"&amp;J16&amp;"img) tok x "&amp;$C$5&amp;" seq"))</f>
        <v>2 x (24+0w) L x 8 kv x 128 hd x 2B x (5120+256img) tok x 16 seq</v>
      </c>
      <c r="R16" s="18" t="s">
        <v>39</v>
      </c>
      <c r="S16" s="19" t="s">
        <v>45</v>
      </c>
      <c r="U16" s="12" t="str">
        <f aca="false">IF(P16&gt;Cards!$D$9,"multi-GPU / shard",IF(P16&lt;=Cards!$D$3,Cards!$A$3,INDEX(Cards!$A$3:$A$9,MATCH(P16,Cards!$D$3:$D$9,1)+1)))</f>
        <v>Intel Arc Pro B60 24GB</v>
      </c>
    </row>
    <row r="17" customFormat="false" ht="22.35" hidden="false" customHeight="false" outlineLevel="0" collapsed="false">
      <c r="A17" s="11" t="s">
        <v>46</v>
      </c>
      <c r="B17" s="12" t="s">
        <v>47</v>
      </c>
      <c r="C17" s="13" t="s">
        <v>38</v>
      </c>
      <c r="D17" s="20" t="n">
        <v>28</v>
      </c>
      <c r="E17" s="20" t="n">
        <v>28</v>
      </c>
      <c r="F17" s="20" t="n">
        <v>0</v>
      </c>
      <c r="G17" s="20" t="n">
        <v>0</v>
      </c>
      <c r="H17" s="20" t="n">
        <v>4</v>
      </c>
      <c r="I17" s="20" t="n">
        <v>128</v>
      </c>
      <c r="J17" s="20" t="n">
        <v>256</v>
      </c>
      <c r="K17" s="21" t="n">
        <v>16</v>
      </c>
      <c r="L17" s="7" t="n">
        <f aca="false">IF(C17="None",0,2*H17*I17*$C$9)</f>
        <v>2048</v>
      </c>
      <c r="M17" s="7" t="n">
        <f aca="false">IF(C17="None",0,IF(C17="Enc-Dec",E17*($C$7+J17),E17*($C$8+J17)+F17*MIN($C$8+J17,G17)))</f>
        <v>150528</v>
      </c>
      <c r="N17" s="14" t="n">
        <f aca="false">L17*M17/1048576</f>
        <v>294</v>
      </c>
      <c r="O17" s="15" t="n">
        <f aca="false">L17*M17*$C$5*(1+$C$10)/1073741824</f>
        <v>5.053125</v>
      </c>
      <c r="P17" s="16" t="n">
        <f aca="false">K17+O17</f>
        <v>21.053125</v>
      </c>
      <c r="Q17" s="17" t="str">
        <f aca="false">IF(C17="None","no KV cache (single-pass encoder)",IF(C17="Enc-Dec","2 x "&amp;E17&amp;" dec-L x "&amp;H17&amp;" kv x "&amp;I17&amp;" hd x "&amp;$C$9&amp;"B x ("&amp;$C$7&amp;"+"&amp;J17&amp;"img) out-tok x "&amp;$C$5&amp;" seq","2 x ("&amp;E17&amp;"+"&amp;F17&amp;"w) L x "&amp;H17&amp;" kv x "&amp;I17&amp;" hd x "&amp;$C$9&amp;"B x ("&amp;$C$8&amp;"+"&amp;J17&amp;"img) tok x "&amp;$C$5&amp;" seq"))</f>
        <v>2 x (28+0w) L x 4 kv x 128 hd x 2B x (5120+256img) tok x 16 seq</v>
      </c>
      <c r="R17" s="22" t="s">
        <v>48</v>
      </c>
      <c r="S17" s="19" t="s">
        <v>49</v>
      </c>
      <c r="U17" s="12" t="str">
        <f aca="false">IF(P17&gt;Cards!$D$9,"multi-GPU / shard",IF(P17&lt;=Cards!$D$3,Cards!$A$3,INDEX(Cards!$A$3:$A$9,MATCH(P17,Cards!$D$3:$D$9,1)+1)))</f>
        <v>Intel Arc Pro B60 24GB</v>
      </c>
    </row>
    <row r="18" customFormat="false" ht="22.35" hidden="false" customHeight="false" outlineLevel="0" collapsed="false">
      <c r="A18" s="11" t="s">
        <v>50</v>
      </c>
      <c r="B18" s="12" t="s">
        <v>47</v>
      </c>
      <c r="C18" s="13" t="s">
        <v>38</v>
      </c>
      <c r="D18" s="6" t="n">
        <v>40</v>
      </c>
      <c r="E18" s="6" t="n">
        <v>40</v>
      </c>
      <c r="F18" s="6" t="n">
        <v>0</v>
      </c>
      <c r="G18" s="6" t="n">
        <v>0</v>
      </c>
      <c r="H18" s="6" t="n">
        <v>8</v>
      </c>
      <c r="I18" s="6" t="n">
        <v>128</v>
      </c>
      <c r="J18" s="6" t="n">
        <v>0</v>
      </c>
      <c r="K18" s="8" t="n">
        <v>22</v>
      </c>
      <c r="L18" s="7" t="n">
        <f aca="false">IF(C18="None",0,2*H18*I18*$C$9)</f>
        <v>4096</v>
      </c>
      <c r="M18" s="7" t="n">
        <f aca="false">IF(C18="None",0,IF(C18="Enc-Dec",E18*($C$7+J18),E18*($C$8+J18)+F18*MIN($C$8+J18,G18)))</f>
        <v>204800</v>
      </c>
      <c r="N18" s="14" t="n">
        <f aca="false">L18*M18/1048576</f>
        <v>800</v>
      </c>
      <c r="O18" s="15" t="n">
        <f aca="false">L18*M18*$C$5*(1+$C$10)/1073741824</f>
        <v>13.75</v>
      </c>
      <c r="P18" s="16" t="n">
        <f aca="false">K18+O18</f>
        <v>35.75</v>
      </c>
      <c r="Q18" s="17" t="str">
        <f aca="false">IF(C18="None","no KV cache (single-pass encoder)",IF(C18="Enc-Dec","2 x "&amp;E18&amp;" dec-L x "&amp;H18&amp;" kv x "&amp;I18&amp;" hd x "&amp;$C$9&amp;"B x ("&amp;$C$7&amp;"+"&amp;J18&amp;"img) out-tok x "&amp;$C$5&amp;" seq","2 x ("&amp;E18&amp;"+"&amp;F18&amp;"w) L x "&amp;H18&amp;" kv x "&amp;I18&amp;" hd x "&amp;$C$9&amp;"B x ("&amp;$C$8&amp;"+"&amp;J18&amp;"img) tok x "&amp;$C$5&amp;" seq"))</f>
        <v>2 x (40+0w) L x 8 kv x 128 hd x 2B x (5120+0img) tok x 16 seq</v>
      </c>
      <c r="R18" s="18" t="s">
        <v>39</v>
      </c>
      <c r="S18" s="19" t="s">
        <v>51</v>
      </c>
      <c r="U18" s="12" t="str">
        <f aca="false">IF(P18&gt;Cards!$D$9,"multi-GPU / shard",IF(P18&lt;=Cards!$D$3,Cards!$A$3,INDEX(Cards!$A$3:$A$9,MATCH(P18,Cards!$D$3:$D$9,1)+1)))</f>
        <v>NVIDIA L40S 48GB</v>
      </c>
    </row>
    <row r="19" customFormat="false" ht="22.35" hidden="false" customHeight="false" outlineLevel="0" collapsed="false">
      <c r="A19" s="11" t="s">
        <v>52</v>
      </c>
      <c r="B19" s="12" t="s">
        <v>47</v>
      </c>
      <c r="C19" s="13" t="s">
        <v>38</v>
      </c>
      <c r="D19" s="20" t="n">
        <v>36</v>
      </c>
      <c r="E19" s="20" t="n">
        <v>36</v>
      </c>
      <c r="F19" s="20" t="n">
        <v>0</v>
      </c>
      <c r="G19" s="20" t="n">
        <v>0</v>
      </c>
      <c r="H19" s="20" t="n">
        <v>8</v>
      </c>
      <c r="I19" s="20" t="n">
        <v>128</v>
      </c>
      <c r="J19" s="20" t="n">
        <v>256</v>
      </c>
      <c r="K19" s="21" t="n">
        <v>8</v>
      </c>
      <c r="L19" s="7" t="n">
        <f aca="false">IF(C19="None",0,2*H19*I19*$C$9)</f>
        <v>4096</v>
      </c>
      <c r="M19" s="7" t="n">
        <f aca="false">IF(C19="None",0,IF(C19="Enc-Dec",E19*($C$7+J19),E19*($C$8+J19)+F19*MIN($C$8+J19,G19)))</f>
        <v>193536</v>
      </c>
      <c r="N19" s="14" t="n">
        <f aca="false">L19*M19/1048576</f>
        <v>756</v>
      </c>
      <c r="O19" s="15" t="n">
        <f aca="false">L19*M19*$C$5*(1+$C$10)/1073741824</f>
        <v>12.99375</v>
      </c>
      <c r="P19" s="16" t="n">
        <f aca="false">K19+O19</f>
        <v>20.99375</v>
      </c>
      <c r="Q19" s="17" t="str">
        <f aca="false">IF(C19="None","no KV cache (single-pass encoder)",IF(C19="Enc-Dec","2 x "&amp;E19&amp;" dec-L x "&amp;H19&amp;" kv x "&amp;I19&amp;" hd x "&amp;$C$9&amp;"B x ("&amp;$C$7&amp;"+"&amp;J19&amp;"img) out-tok x "&amp;$C$5&amp;" seq","2 x ("&amp;E19&amp;"+"&amp;F19&amp;"w) L x "&amp;H19&amp;" kv x "&amp;I19&amp;" hd x "&amp;$C$9&amp;"B x ("&amp;$C$8&amp;"+"&amp;J19&amp;"img) tok x "&amp;$C$5&amp;" seq"))</f>
        <v>2 x (36+0w) L x 8 kv x 128 hd x 2B x (5120+256img) tok x 16 seq</v>
      </c>
      <c r="R19" s="22" t="s">
        <v>48</v>
      </c>
      <c r="S19" s="19" t="s">
        <v>53</v>
      </c>
      <c r="U19" s="12" t="str">
        <f aca="false">IF(P19&gt;Cards!$D$9,"multi-GPU / shard",IF(P19&lt;=Cards!$D$3,Cards!$A$3,INDEX(Cards!$A$3:$A$9,MATCH(P19,Cards!$D$3:$D$9,1)+1)))</f>
        <v>Intel Arc Pro B60 24GB</v>
      </c>
    </row>
    <row r="20" customFormat="false" ht="22.35" hidden="false" customHeight="false" outlineLevel="0" collapsed="false">
      <c r="A20" s="11" t="s">
        <v>54</v>
      </c>
      <c r="B20" s="12" t="s">
        <v>55</v>
      </c>
      <c r="C20" s="13" t="s">
        <v>42</v>
      </c>
      <c r="D20" s="6" t="n">
        <v>0</v>
      </c>
      <c r="E20" s="6" t="n">
        <v>12</v>
      </c>
      <c r="F20" s="6" t="n">
        <v>0</v>
      </c>
      <c r="G20" s="6" t="n">
        <v>0</v>
      </c>
      <c r="H20" s="6" t="n">
        <v>8</v>
      </c>
      <c r="I20" s="6" t="n">
        <v>64</v>
      </c>
      <c r="J20" s="6" t="n">
        <v>0</v>
      </c>
      <c r="K20" s="8" t="n">
        <v>4</v>
      </c>
      <c r="L20" s="7" t="n">
        <f aca="false">IF(C20="None",0,2*H20*I20*$C$9)</f>
        <v>2048</v>
      </c>
      <c r="M20" s="7" t="n">
        <f aca="false">IF(C20="None",0,IF(C20="Enc-Dec",E20*($C$7+J20),E20*($C$8+J20)+F20*MIN($C$8+J20,G20)))</f>
        <v>12288</v>
      </c>
      <c r="N20" s="14" t="n">
        <f aca="false">L20*M20/1048576</f>
        <v>24</v>
      </c>
      <c r="O20" s="15" t="n">
        <f aca="false">L20*M20*$C$5*(1+$C$10)/1073741824</f>
        <v>0.4125</v>
      </c>
      <c r="P20" s="16" t="n">
        <f aca="false">K20+O20</f>
        <v>4.4125</v>
      </c>
      <c r="Q20" s="17" t="str">
        <f aca="false">IF(C20="None","no KV cache (single-pass encoder)",IF(C20="Enc-Dec","2 x "&amp;E20&amp;" dec-L x "&amp;H20&amp;" kv x "&amp;I20&amp;" hd x "&amp;$C$9&amp;"B x ("&amp;$C$7&amp;"+"&amp;J20&amp;"img) out-tok x "&amp;$C$5&amp;" seq","2 x ("&amp;E20&amp;"+"&amp;F20&amp;"w) L x "&amp;H20&amp;" kv x "&amp;I20&amp;" hd x "&amp;$C$9&amp;"B x ("&amp;$C$8&amp;"+"&amp;J20&amp;"img) tok x "&amp;$C$5&amp;" seq"))</f>
        <v>2 x 12 dec-L x 8 kv x 64 hd x 2B x (1024+0img) out-tok x 16 seq</v>
      </c>
      <c r="R20" s="18" t="s">
        <v>39</v>
      </c>
      <c r="S20" s="19" t="s">
        <v>56</v>
      </c>
      <c r="U20" s="12" t="str">
        <f aca="false">IF(P20&gt;Cards!$D$9,"multi-GPU / shard",IF(P20&lt;=Cards!$D$3,Cards!$A$3,INDEX(Cards!$A$3:$A$9,MATCH(P20,Cards!$D$3:$D$9,1)+1)))</f>
        <v>Intel Arc Pro B60 24GB</v>
      </c>
    </row>
    <row r="21" customFormat="false" ht="22.35" hidden="false" customHeight="false" outlineLevel="0" collapsed="false">
      <c r="A21" s="11" t="s">
        <v>57</v>
      </c>
      <c r="B21" s="12" t="s">
        <v>55</v>
      </c>
      <c r="C21" s="13" t="s">
        <v>42</v>
      </c>
      <c r="D21" s="20" t="n">
        <v>0</v>
      </c>
      <c r="E21" s="20" t="n">
        <v>2</v>
      </c>
      <c r="F21" s="20" t="n">
        <v>0</v>
      </c>
      <c r="G21" s="20" t="n">
        <v>0</v>
      </c>
      <c r="H21" s="20" t="n">
        <v>20</v>
      </c>
      <c r="I21" s="20" t="n">
        <v>64</v>
      </c>
      <c r="J21" s="20" t="n">
        <v>0</v>
      </c>
      <c r="K21" s="21" t="n">
        <v>1.5</v>
      </c>
      <c r="L21" s="7" t="n">
        <f aca="false">IF(C21="None",0,2*H21*I21*$C$9)</f>
        <v>5120</v>
      </c>
      <c r="M21" s="7" t="n">
        <f aca="false">IF(C21="None",0,IF(C21="Enc-Dec",E21*($C$7+J21),E21*($C$8+J21)+F21*MIN($C$8+J21,G21)))</f>
        <v>2048</v>
      </c>
      <c r="N21" s="14" t="n">
        <f aca="false">L21*M21/1048576</f>
        <v>10</v>
      </c>
      <c r="O21" s="15" t="n">
        <f aca="false">L21*M21*$C$5*(1+$C$10)/1073741824</f>
        <v>0.171875</v>
      </c>
      <c r="P21" s="16" t="n">
        <f aca="false">K21+O21</f>
        <v>1.671875</v>
      </c>
      <c r="Q21" s="17" t="str">
        <f aca="false">IF(C21="None","no KV cache (single-pass encoder)",IF(C21="Enc-Dec","2 x "&amp;E21&amp;" dec-L x "&amp;H21&amp;" kv x "&amp;I21&amp;" hd x "&amp;$C$9&amp;"B x ("&amp;$C$7&amp;"+"&amp;J21&amp;"img) out-tok x "&amp;$C$5&amp;" seq","2 x ("&amp;E21&amp;"+"&amp;F21&amp;"w) L x "&amp;H21&amp;" kv x "&amp;I21&amp;" hd x "&amp;$C$9&amp;"B x ("&amp;$C$8&amp;"+"&amp;J21&amp;"img) tok x "&amp;$C$5&amp;" seq"))</f>
        <v>2 x 2 dec-L x 20 kv x 64 hd x 2B x (1024+0img) out-tok x 16 seq</v>
      </c>
      <c r="R21" s="22" t="s">
        <v>48</v>
      </c>
      <c r="S21" s="19" t="s">
        <v>58</v>
      </c>
      <c r="U21" s="12" t="str">
        <f aca="false">IF(P21&gt;Cards!$D$9,"multi-GPU / shard",IF(P21&lt;=Cards!$D$3,Cards!$A$3,INDEX(Cards!$A$3:$A$9,MATCH(P21,Cards!$D$3:$D$9,1)+1)))</f>
        <v>Intel Arc Pro B60 24GB</v>
      </c>
    </row>
    <row r="22" customFormat="false" ht="15" hidden="false" customHeight="false" outlineLevel="0" collapsed="false">
      <c r="A22" s="11" t="s">
        <v>59</v>
      </c>
      <c r="B22" s="12" t="s">
        <v>55</v>
      </c>
      <c r="C22" s="13" t="s">
        <v>60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0</v>
      </c>
      <c r="I22" s="20" t="n">
        <v>0</v>
      </c>
      <c r="J22" s="20" t="n">
        <v>0</v>
      </c>
      <c r="K22" s="21" t="n">
        <v>2.4</v>
      </c>
      <c r="L22" s="7" t="n">
        <f aca="false">IF(C22="None",0,2*H22*I22*$C$9)</f>
        <v>0</v>
      </c>
      <c r="M22" s="7" t="n">
        <f aca="false">IF(C22="None",0,IF(C22="Enc-Dec",E22*($C$7+J22),E22*($C$8+J22)+F22*MIN($C$8+J22,G22)))</f>
        <v>0</v>
      </c>
      <c r="N22" s="14" t="n">
        <f aca="false">L22*M22/1048576</f>
        <v>0</v>
      </c>
      <c r="O22" s="15" t="n">
        <f aca="false">L22*M22*$C$5*(1+$C$10)/1073741824</f>
        <v>0</v>
      </c>
      <c r="P22" s="16" t="n">
        <f aca="false">K22+O22</f>
        <v>2.4</v>
      </c>
      <c r="Q22" s="17" t="str">
        <f aca="false">IF(C22="None","no KV cache (single-pass encoder)",IF(C22="Enc-Dec","2 x "&amp;E22&amp;" dec-L x "&amp;H22&amp;" kv x "&amp;I22&amp;" hd x "&amp;$C$9&amp;"B x ("&amp;$C$7&amp;"+"&amp;J22&amp;"img) out-tok x "&amp;$C$5&amp;" seq","2 x ("&amp;E22&amp;"+"&amp;F22&amp;"w) L x "&amp;H22&amp;" kv x "&amp;I22&amp;" hd x "&amp;$C$9&amp;"B x ("&amp;$C$8&amp;"+"&amp;J22&amp;"img) tok x "&amp;$C$5&amp;" seq"))</f>
        <v>no KV cache (single-pass encoder)</v>
      </c>
      <c r="R22" s="22" t="s">
        <v>48</v>
      </c>
      <c r="S22" s="19" t="s">
        <v>61</v>
      </c>
      <c r="U22" s="12" t="str">
        <f aca="false">IF(P22&gt;Cards!$D$9,"multi-GPU / shard",IF(P22&lt;=Cards!$D$3,Cards!$A$3,INDEX(Cards!$A$3:$A$9,MATCH(P22,Cards!$D$3:$D$9,1)+1)))</f>
        <v>Intel Arc Pro B60 24GB</v>
      </c>
    </row>
    <row r="23" customFormat="false" ht="22.35" hidden="false" customHeight="false" outlineLevel="0" collapsed="false">
      <c r="A23" s="11" t="s">
        <v>62</v>
      </c>
      <c r="B23" s="12" t="s">
        <v>55</v>
      </c>
      <c r="C23" s="13" t="s">
        <v>38</v>
      </c>
      <c r="D23" s="6" t="n">
        <v>28</v>
      </c>
      <c r="E23" s="6" t="n">
        <v>28</v>
      </c>
      <c r="F23" s="6" t="n">
        <v>0</v>
      </c>
      <c r="G23" s="6" t="n">
        <v>0</v>
      </c>
      <c r="H23" s="6" t="n">
        <v>8</v>
      </c>
      <c r="I23" s="6" t="n">
        <v>128</v>
      </c>
      <c r="J23" s="6" t="n">
        <v>0</v>
      </c>
      <c r="K23" s="8" t="n">
        <v>6</v>
      </c>
      <c r="L23" s="7" t="n">
        <f aca="false">IF(C23="None",0,2*H23*I23*$C$9)</f>
        <v>4096</v>
      </c>
      <c r="M23" s="7" t="n">
        <f aca="false">IF(C23="None",0,IF(C23="Enc-Dec",E23*($C$7+J23),E23*($C$8+J23)+F23*MIN($C$8+J23,G23)))</f>
        <v>143360</v>
      </c>
      <c r="N23" s="14" t="n">
        <f aca="false">L23*M23/1048576</f>
        <v>560</v>
      </c>
      <c r="O23" s="15" t="n">
        <f aca="false">L23*M23*$C$5*(1+$C$10)/1073741824</f>
        <v>9.625</v>
      </c>
      <c r="P23" s="16" t="n">
        <f aca="false">K23+O23</f>
        <v>15.625</v>
      </c>
      <c r="Q23" s="17" t="str">
        <f aca="false">IF(C23="None","no KV cache (single-pass encoder)",IF(C23="Enc-Dec","2 x "&amp;E23&amp;" dec-L x "&amp;H23&amp;" kv x "&amp;I23&amp;" hd x "&amp;$C$9&amp;"B x ("&amp;$C$7&amp;"+"&amp;J23&amp;"img) out-tok x "&amp;$C$5&amp;" seq","2 x ("&amp;E23&amp;"+"&amp;F23&amp;"w) L x "&amp;H23&amp;" kv x "&amp;I23&amp;" hd x "&amp;$C$9&amp;"B x ("&amp;$C$8&amp;"+"&amp;J23&amp;"img) tok x "&amp;$C$5&amp;" seq"))</f>
        <v>2 x (28+0w) L x 8 kv x 128 hd x 2B x (5120+0img) tok x 16 seq</v>
      </c>
      <c r="R23" s="18" t="s">
        <v>39</v>
      </c>
      <c r="S23" s="19" t="s">
        <v>63</v>
      </c>
      <c r="U23" s="12" t="str">
        <f aca="false">IF(P23&gt;Cards!$D$9,"multi-GPU / shard",IF(P23&lt;=Cards!$D$3,Cards!$A$3,INDEX(Cards!$A$3:$A$9,MATCH(P23,Cards!$D$3:$D$9,1)+1)))</f>
        <v>Intel Arc Pro B60 24GB</v>
      </c>
    </row>
    <row r="24" customFormat="false" ht="15" hidden="false" customHeight="false" outlineLevel="0" collapsed="false">
      <c r="A24" s="11" t="s">
        <v>64</v>
      </c>
      <c r="B24" s="12" t="s">
        <v>55</v>
      </c>
      <c r="C24" s="13" t="s">
        <v>60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1" t="n">
        <v>0.15</v>
      </c>
      <c r="L24" s="7" t="n">
        <f aca="false">IF(C24="None",0,2*H24*I24*$C$9)</f>
        <v>0</v>
      </c>
      <c r="M24" s="7" t="n">
        <f aca="false">IF(C24="None",0,IF(C24="Enc-Dec",E24*($C$7+J24),E24*($C$8+J24)+F24*MIN($C$8+J24,G24)))</f>
        <v>0</v>
      </c>
      <c r="N24" s="14" t="n">
        <f aca="false">L24*M24/1048576</f>
        <v>0</v>
      </c>
      <c r="O24" s="15" t="n">
        <f aca="false">L24*M24*$C$5*(1+$C$10)/1073741824</f>
        <v>0</v>
      </c>
      <c r="P24" s="16" t="n">
        <f aca="false">K24+O24</f>
        <v>0.15</v>
      </c>
      <c r="Q24" s="17" t="str">
        <f aca="false">IF(C24="None","no KV cache (single-pass encoder)",IF(C24="Enc-Dec","2 x "&amp;E24&amp;" dec-L x "&amp;H24&amp;" kv x "&amp;I24&amp;" hd x "&amp;$C$9&amp;"B x ("&amp;$C$7&amp;"+"&amp;J24&amp;"img) out-tok x "&amp;$C$5&amp;" seq","2 x ("&amp;E24&amp;"+"&amp;F24&amp;"w) L x "&amp;H24&amp;" kv x "&amp;I24&amp;" hd x "&amp;$C$9&amp;"B x ("&amp;$C$8&amp;"+"&amp;J24&amp;"img) tok x "&amp;$C$5&amp;" seq"))</f>
        <v>no KV cache (single-pass encoder)</v>
      </c>
      <c r="R24" s="22" t="s">
        <v>48</v>
      </c>
      <c r="S24" s="19" t="s">
        <v>65</v>
      </c>
      <c r="U24" s="12" t="str">
        <f aca="false">IF(P24&gt;Cards!$D$9,"multi-GPU / shard",IF(P24&lt;=Cards!$D$3,Cards!$A$3,INDEX(Cards!$A$3:$A$9,MATCH(P24,Cards!$D$3:$D$9,1)+1)))</f>
        <v>Intel Arc Pro B60 24GB</v>
      </c>
    </row>
    <row r="25" customFormat="false" ht="15" hidden="false" customHeight="false" outlineLevel="0" collapsed="false">
      <c r="A25" s="11" t="s">
        <v>66</v>
      </c>
      <c r="B25" s="12" t="s">
        <v>55</v>
      </c>
      <c r="C25" s="13" t="s">
        <v>60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1" t="n">
        <v>0.01</v>
      </c>
      <c r="L25" s="7" t="n">
        <f aca="false">IF(C25="None",0,2*H25*I25*$C$9)</f>
        <v>0</v>
      </c>
      <c r="M25" s="7" t="n">
        <f aca="false">IF(C25="None",0,IF(C25="Enc-Dec",E25*($C$7+J25),E25*($C$8+J25)+F25*MIN($C$8+J25,G25)))</f>
        <v>0</v>
      </c>
      <c r="N25" s="14" t="n">
        <f aca="false">L25*M25/1048576</f>
        <v>0</v>
      </c>
      <c r="O25" s="15" t="n">
        <f aca="false">L25*M25*$C$5*(1+$C$10)/1073741824</f>
        <v>0</v>
      </c>
      <c r="P25" s="16" t="n">
        <f aca="false">K25+O25</f>
        <v>0.01</v>
      </c>
      <c r="Q25" s="17" t="str">
        <f aca="false">IF(C25="None","no KV cache (single-pass encoder)",IF(C25="Enc-Dec","2 x "&amp;E25&amp;" dec-L x "&amp;H25&amp;" kv x "&amp;I25&amp;" hd x "&amp;$C$9&amp;"B x ("&amp;$C$7&amp;"+"&amp;J25&amp;"img) out-tok x "&amp;$C$5&amp;" seq","2 x ("&amp;E25&amp;"+"&amp;F25&amp;"w) L x "&amp;H25&amp;" kv x "&amp;I25&amp;" hd x "&amp;$C$9&amp;"B x ("&amp;$C$8&amp;"+"&amp;J25&amp;"img) tok x "&amp;$C$5&amp;" seq"))</f>
        <v>no KV cache (single-pass encoder)</v>
      </c>
      <c r="R25" s="22" t="s">
        <v>48</v>
      </c>
      <c r="S25" s="19" t="s">
        <v>67</v>
      </c>
      <c r="U25" s="12" t="str">
        <f aca="false">IF(P25&gt;Cards!$D$9,"multi-GPU / shard",IF(P25&lt;=Cards!$D$3,Cards!$A$3,INDEX(Cards!$A$3:$A$9,MATCH(P25,Cards!$D$3:$D$9,1)+1)))</f>
        <v>Intel Arc Pro B60 24GB</v>
      </c>
    </row>
    <row r="26" customFormat="false" ht="15" hidden="false" customHeight="false" outlineLevel="0" collapsed="false">
      <c r="A26" s="11" t="s">
        <v>68</v>
      </c>
      <c r="B26" s="12" t="s">
        <v>55</v>
      </c>
      <c r="C26" s="13" t="s">
        <v>60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1" t="n">
        <v>0.01</v>
      </c>
      <c r="L26" s="7" t="n">
        <f aca="false">IF(C26="None",0,2*H26*I26*$C$9)</f>
        <v>0</v>
      </c>
      <c r="M26" s="7" t="n">
        <f aca="false">IF(C26="None",0,IF(C26="Enc-Dec",E26*($C$7+J26),E26*($C$8+J26)+F26*MIN($C$8+J26,G26)))</f>
        <v>0</v>
      </c>
      <c r="N26" s="14" t="n">
        <f aca="false">L26*M26/1048576</f>
        <v>0</v>
      </c>
      <c r="O26" s="15" t="n">
        <f aca="false">L26*M26*$C$5*(1+$C$10)/1073741824</f>
        <v>0</v>
      </c>
      <c r="P26" s="16" t="n">
        <f aca="false">K26+O26</f>
        <v>0.01</v>
      </c>
      <c r="Q26" s="17" t="str">
        <f aca="false">IF(C26="None","no KV cache (single-pass encoder)",IF(C26="Enc-Dec","2 x "&amp;E26&amp;" dec-L x "&amp;H26&amp;" kv x "&amp;I26&amp;" hd x "&amp;$C$9&amp;"B x ("&amp;$C$7&amp;"+"&amp;J26&amp;"img) out-tok x "&amp;$C$5&amp;" seq","2 x ("&amp;E26&amp;"+"&amp;F26&amp;"w) L x "&amp;H26&amp;" kv x "&amp;I26&amp;" hd x "&amp;$C$9&amp;"B x ("&amp;$C$8&amp;"+"&amp;J26&amp;"img) tok x "&amp;$C$5&amp;" seq"))</f>
        <v>no KV cache (single-pass encoder)</v>
      </c>
      <c r="R26" s="22" t="s">
        <v>48</v>
      </c>
      <c r="S26" s="19" t="s">
        <v>69</v>
      </c>
      <c r="U26" s="12" t="str">
        <f aca="false">IF(P26&gt;Cards!$D$9,"multi-GPU / shard",IF(P26&lt;=Cards!$D$3,Cards!$A$3,INDEX(Cards!$A$3:$A$9,MATCH(P26,Cards!$D$3:$D$9,1)+1)))</f>
        <v>Intel Arc Pro B60 24GB</v>
      </c>
    </row>
    <row r="27" customFormat="false" ht="22.35" hidden="false" customHeight="false" outlineLevel="0" collapsed="false">
      <c r="A27" s="11" t="s">
        <v>70</v>
      </c>
      <c r="B27" s="12" t="s">
        <v>71</v>
      </c>
      <c r="C27" s="13" t="s">
        <v>42</v>
      </c>
      <c r="D27" s="6" t="n">
        <v>0</v>
      </c>
      <c r="E27" s="6" t="n">
        <v>18</v>
      </c>
      <c r="F27" s="6" t="n">
        <v>0</v>
      </c>
      <c r="G27" s="6" t="n">
        <v>0</v>
      </c>
      <c r="H27" s="6" t="n">
        <v>16</v>
      </c>
      <c r="I27" s="6" t="n">
        <v>64</v>
      </c>
      <c r="J27" s="6" t="n">
        <v>0</v>
      </c>
      <c r="K27" s="8" t="n">
        <v>4</v>
      </c>
      <c r="L27" s="7" t="n">
        <f aca="false">IF(C27="None",0,2*H27*I27*$C$9)</f>
        <v>4096</v>
      </c>
      <c r="M27" s="7" t="n">
        <f aca="false">IF(C27="None",0,IF(C27="Enc-Dec",E27*($C$7+J27),E27*($C$8+J27)+F27*MIN($C$8+J27,G27)))</f>
        <v>18432</v>
      </c>
      <c r="N27" s="14" t="n">
        <f aca="false">L27*M27/1048576</f>
        <v>72</v>
      </c>
      <c r="O27" s="15" t="n">
        <f aca="false">L27*M27*$C$5*(1+$C$10)/1073741824</f>
        <v>1.2375</v>
      </c>
      <c r="P27" s="16" t="n">
        <f aca="false">K27+O27</f>
        <v>5.2375</v>
      </c>
      <c r="Q27" s="17" t="str">
        <f aca="false">IF(C27="None","no KV cache (single-pass encoder)",IF(C27="Enc-Dec","2 x "&amp;E27&amp;" dec-L x "&amp;H27&amp;" kv x "&amp;I27&amp;" hd x "&amp;$C$9&amp;"B x ("&amp;$C$7&amp;"+"&amp;J27&amp;"img) out-tok x "&amp;$C$5&amp;" seq","2 x ("&amp;E27&amp;"+"&amp;F27&amp;"w) L x "&amp;H27&amp;" kv x "&amp;I27&amp;" hd x "&amp;$C$9&amp;"B x ("&amp;$C$8&amp;"+"&amp;J27&amp;"img) tok x "&amp;$C$5&amp;" seq"))</f>
        <v>2 x 18 dec-L x 16 kv x 64 hd x 2B x (1024+0img) out-tok x 16 seq</v>
      </c>
      <c r="R27" s="18" t="s">
        <v>39</v>
      </c>
      <c r="S27" s="19" t="s">
        <v>72</v>
      </c>
      <c r="U27" s="12" t="str">
        <f aca="false">IF(P27&gt;Cards!$D$9,"multi-GPU / shard",IF(P27&lt;=Cards!$D$3,Cards!$A$3,INDEX(Cards!$A$3:$A$9,MATCH(P27,Cards!$D$3:$D$9,1)+1)))</f>
        <v>Intel Arc Pro B60 24GB</v>
      </c>
    </row>
    <row r="28" customFormat="false" ht="22.35" hidden="false" customHeight="false" outlineLevel="0" collapsed="false">
      <c r="A28" s="11" t="s">
        <v>73</v>
      </c>
      <c r="B28" s="12" t="s">
        <v>71</v>
      </c>
      <c r="C28" s="13" t="s">
        <v>42</v>
      </c>
      <c r="D28" s="6" t="n">
        <v>0</v>
      </c>
      <c r="E28" s="6" t="n">
        <v>18</v>
      </c>
      <c r="F28" s="6" t="n">
        <v>0</v>
      </c>
      <c r="G28" s="6" t="n">
        <v>0</v>
      </c>
      <c r="H28" s="6" t="n">
        <v>16</v>
      </c>
      <c r="I28" s="6" t="n">
        <v>64</v>
      </c>
      <c r="J28" s="6" t="n">
        <v>0</v>
      </c>
      <c r="K28" s="8" t="n">
        <v>4</v>
      </c>
      <c r="L28" s="7" t="n">
        <f aca="false">IF(C28="None",0,2*H28*I28*$C$9)</f>
        <v>4096</v>
      </c>
      <c r="M28" s="7" t="n">
        <f aca="false">IF(C28="None",0,IF(C28="Enc-Dec",E28*($C$7+J28),E28*($C$8+J28)+F28*MIN($C$8+J28,G28)))</f>
        <v>18432</v>
      </c>
      <c r="N28" s="14" t="n">
        <f aca="false">L28*M28/1048576</f>
        <v>72</v>
      </c>
      <c r="O28" s="15" t="n">
        <f aca="false">L28*M28*$C$5*(1+$C$10)/1073741824</f>
        <v>1.2375</v>
      </c>
      <c r="P28" s="16" t="n">
        <f aca="false">K28+O28</f>
        <v>5.2375</v>
      </c>
      <c r="Q28" s="17" t="str">
        <f aca="false">IF(C28="None","no KV cache (single-pass encoder)",IF(C28="Enc-Dec","2 x "&amp;E28&amp;" dec-L x "&amp;H28&amp;" kv x "&amp;I28&amp;" hd x "&amp;$C$9&amp;"B x ("&amp;$C$7&amp;"+"&amp;J28&amp;"img) out-tok x "&amp;$C$5&amp;" seq","2 x ("&amp;E28&amp;"+"&amp;F28&amp;"w) L x "&amp;H28&amp;" kv x "&amp;I28&amp;" hd x "&amp;$C$9&amp;"B x ("&amp;$C$8&amp;"+"&amp;J28&amp;"img) tok x "&amp;$C$5&amp;" seq"))</f>
        <v>2 x 18 dec-L x 16 kv x 64 hd x 2B x (1024+0img) out-tok x 16 seq</v>
      </c>
      <c r="R28" s="18" t="s">
        <v>39</v>
      </c>
      <c r="S28" s="19" t="s">
        <v>74</v>
      </c>
      <c r="U28" s="12" t="str">
        <f aca="false">IF(P28&gt;Cards!$D$9,"multi-GPU / shard",IF(P28&lt;=Cards!$D$3,Cards!$A$3,INDEX(Cards!$A$3:$A$9,MATCH(P28,Cards!$D$3:$D$9,1)+1)))</f>
        <v>Intel Arc Pro B60 24GB</v>
      </c>
    </row>
    <row r="29" customFormat="false" ht="22.35" hidden="false" customHeight="false" outlineLevel="0" collapsed="false">
      <c r="A29" s="11" t="s">
        <v>75</v>
      </c>
      <c r="B29" s="12" t="s">
        <v>71</v>
      </c>
      <c r="C29" s="13" t="s">
        <v>42</v>
      </c>
      <c r="D29" s="6" t="n">
        <v>0</v>
      </c>
      <c r="E29" s="6" t="n">
        <v>18</v>
      </c>
      <c r="F29" s="6" t="n">
        <v>0</v>
      </c>
      <c r="G29" s="6" t="n">
        <v>0</v>
      </c>
      <c r="H29" s="6" t="n">
        <v>16</v>
      </c>
      <c r="I29" s="6" t="n">
        <v>64</v>
      </c>
      <c r="J29" s="6" t="n">
        <v>0</v>
      </c>
      <c r="K29" s="8" t="n">
        <v>4</v>
      </c>
      <c r="L29" s="7" t="n">
        <f aca="false">IF(C29="None",0,2*H29*I29*$C$9)</f>
        <v>4096</v>
      </c>
      <c r="M29" s="7" t="n">
        <f aca="false">IF(C29="None",0,IF(C29="Enc-Dec",E29*($C$7+J29),E29*($C$8+J29)+F29*MIN($C$8+J29,G29)))</f>
        <v>18432</v>
      </c>
      <c r="N29" s="14" t="n">
        <f aca="false">L29*M29/1048576</f>
        <v>72</v>
      </c>
      <c r="O29" s="15" t="n">
        <f aca="false">L29*M29*$C$5*(1+$C$10)/1073741824</f>
        <v>1.2375</v>
      </c>
      <c r="P29" s="16" t="n">
        <f aca="false">K29+O29</f>
        <v>5.2375</v>
      </c>
      <c r="Q29" s="17" t="str">
        <f aca="false">IF(C29="None","no KV cache (single-pass encoder)",IF(C29="Enc-Dec","2 x "&amp;E29&amp;" dec-L x "&amp;H29&amp;" kv x "&amp;I29&amp;" hd x "&amp;$C$9&amp;"B x ("&amp;$C$7&amp;"+"&amp;J29&amp;"img) out-tok x "&amp;$C$5&amp;" seq","2 x ("&amp;E29&amp;"+"&amp;F29&amp;"w) L x "&amp;H29&amp;" kv x "&amp;I29&amp;" hd x "&amp;$C$9&amp;"B x ("&amp;$C$8&amp;"+"&amp;J29&amp;"img) tok x "&amp;$C$5&amp;" seq"))</f>
        <v>2 x 18 dec-L x 16 kv x 64 hd x 2B x (1024+0img) out-tok x 16 seq</v>
      </c>
      <c r="R29" s="18" t="s">
        <v>39</v>
      </c>
      <c r="S29" s="19" t="s">
        <v>74</v>
      </c>
      <c r="U29" s="12" t="str">
        <f aca="false">IF(P29&gt;Cards!$D$9,"multi-GPU / shard",IF(P29&lt;=Cards!$D$3,Cards!$A$3,INDEX(Cards!$A$3:$A$9,MATCH(P29,Cards!$D$3:$D$9,1)+1)))</f>
        <v>Intel Arc Pro B60 24GB</v>
      </c>
    </row>
    <row r="30" customFormat="false" ht="22.35" hidden="false" customHeight="false" outlineLevel="0" collapsed="false">
      <c r="A30" s="11" t="s">
        <v>76</v>
      </c>
      <c r="B30" s="12" t="s">
        <v>71</v>
      </c>
      <c r="C30" s="13" t="s">
        <v>38</v>
      </c>
      <c r="D30" s="6" t="n">
        <v>34</v>
      </c>
      <c r="E30" s="6" t="n">
        <v>34</v>
      </c>
      <c r="F30" s="6" t="n">
        <v>0</v>
      </c>
      <c r="G30" s="6" t="n">
        <v>0</v>
      </c>
      <c r="H30" s="6" t="n">
        <v>4</v>
      </c>
      <c r="I30" s="6" t="n">
        <v>256</v>
      </c>
      <c r="J30" s="6" t="n">
        <v>0</v>
      </c>
      <c r="K30" s="8" t="n">
        <v>8</v>
      </c>
      <c r="L30" s="7" t="n">
        <f aca="false">IF(C30="None",0,2*H30*I30*$C$9)</f>
        <v>4096</v>
      </c>
      <c r="M30" s="7" t="n">
        <f aca="false">IF(C30="None",0,IF(C30="Enc-Dec",E30*($C$7+J30),E30*($C$8+J30)+F30*MIN($C$8+J30,G30)))</f>
        <v>174080</v>
      </c>
      <c r="N30" s="14" t="n">
        <f aca="false">L30*M30/1048576</f>
        <v>680</v>
      </c>
      <c r="O30" s="15" t="n">
        <f aca="false">L30*M30*$C$5*(1+$C$10)/1073741824</f>
        <v>11.6875</v>
      </c>
      <c r="P30" s="16" t="n">
        <f aca="false">K30+O30</f>
        <v>19.6875</v>
      </c>
      <c r="Q30" s="17" t="str">
        <f aca="false">IF(C30="None","no KV cache (single-pass encoder)",IF(C30="Enc-Dec","2 x "&amp;E30&amp;" dec-L x "&amp;H30&amp;" kv x "&amp;I30&amp;" hd x "&amp;$C$9&amp;"B x ("&amp;$C$7&amp;"+"&amp;J30&amp;"img) out-tok x "&amp;$C$5&amp;" seq","2 x ("&amp;E30&amp;"+"&amp;F30&amp;"w) L x "&amp;H30&amp;" kv x "&amp;I30&amp;" hd x "&amp;$C$9&amp;"B x ("&amp;$C$8&amp;"+"&amp;J30&amp;"img) tok x "&amp;$C$5&amp;" seq"))</f>
        <v>2 x (34+0w) L x 4 kv x 256 hd x 2B x (5120+0img) tok x 16 seq</v>
      </c>
      <c r="R30" s="18" t="s">
        <v>39</v>
      </c>
      <c r="S30" s="19" t="s">
        <v>77</v>
      </c>
      <c r="U30" s="12" t="str">
        <f aca="false">IF(P30&gt;Cards!$D$9,"multi-GPU / shard",IF(P30&lt;=Cards!$D$3,Cards!$A$3,INDEX(Cards!$A$3:$A$9,MATCH(P30,Cards!$D$3:$D$9,1)+1)))</f>
        <v>Intel Arc Pro B60 24GB</v>
      </c>
    </row>
    <row r="31" customFormat="false" ht="23.85" hidden="false" customHeight="false" outlineLevel="0" collapsed="false">
      <c r="A31" s="11" t="s">
        <v>78</v>
      </c>
      <c r="B31" s="12" t="s">
        <v>79</v>
      </c>
      <c r="C31" s="13" t="s">
        <v>60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1" t="n">
        <v>1.3</v>
      </c>
      <c r="L31" s="7" t="n">
        <f aca="false">IF(C31="None",0,2*H31*I31*$C$9)</f>
        <v>0</v>
      </c>
      <c r="M31" s="7" t="n">
        <f aca="false">IF(C31="None",0,IF(C31="Enc-Dec",E31*($C$7+J31),E31*($C$8+J31)+F31*MIN($C$8+J31,G31)))</f>
        <v>0</v>
      </c>
      <c r="N31" s="14" t="n">
        <f aca="false">L31*M31/1048576</f>
        <v>0</v>
      </c>
      <c r="O31" s="15" t="n">
        <f aca="false">L31*M31*$C$5*(1+$C$10)/1073741824</f>
        <v>0</v>
      </c>
      <c r="P31" s="16" t="n">
        <f aca="false">K31+O31</f>
        <v>1.3</v>
      </c>
      <c r="Q31" s="17" t="str">
        <f aca="false">IF(C31="None","no KV cache (single-pass encoder)",IF(C31="Enc-Dec","2 x "&amp;E31&amp;" dec-L x "&amp;H31&amp;" kv x "&amp;I31&amp;" hd x "&amp;$C$9&amp;"B x ("&amp;$C$7&amp;"+"&amp;J31&amp;"img) out-tok x "&amp;$C$5&amp;" seq","2 x ("&amp;E31&amp;"+"&amp;F31&amp;"w) L x "&amp;H31&amp;" kv x "&amp;I31&amp;" hd x "&amp;$C$9&amp;"B x ("&amp;$C$8&amp;"+"&amp;J31&amp;"img) tok x "&amp;$C$5&amp;" seq"))</f>
        <v>no KV cache (single-pass encoder)</v>
      </c>
      <c r="R31" s="22" t="s">
        <v>48</v>
      </c>
      <c r="S31" s="19" t="s">
        <v>80</v>
      </c>
      <c r="U31" s="12" t="str">
        <f aca="false">IF(P31&gt;Cards!$D$9,"multi-GPU / shard",IF(P31&lt;=Cards!$D$3,Cards!$A$3,INDEX(Cards!$A$3:$A$9,MATCH(P31,Cards!$D$3:$D$9,1)+1)))</f>
        <v>Intel Arc Pro B60 24GB</v>
      </c>
    </row>
    <row r="32" customFormat="false" ht="23.85" hidden="false" customHeight="false" outlineLevel="0" collapsed="false">
      <c r="A32" s="11" t="s">
        <v>81</v>
      </c>
      <c r="B32" s="12" t="s">
        <v>79</v>
      </c>
      <c r="C32" s="13" t="s">
        <v>60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  <c r="K32" s="21" t="n">
        <v>2.3</v>
      </c>
      <c r="L32" s="7" t="n">
        <f aca="false">IF(C32="None",0,2*H32*I32*$C$9)</f>
        <v>0</v>
      </c>
      <c r="M32" s="7" t="n">
        <f aca="false">IF(C32="None",0,IF(C32="Enc-Dec",E32*($C$7+J32),E32*($C$8+J32)+F32*MIN($C$8+J32,G32)))</f>
        <v>0</v>
      </c>
      <c r="N32" s="14" t="n">
        <f aca="false">L32*M32/1048576</f>
        <v>0</v>
      </c>
      <c r="O32" s="15" t="n">
        <f aca="false">L32*M32*$C$5*(1+$C$10)/1073741824</f>
        <v>0</v>
      </c>
      <c r="P32" s="16" t="n">
        <f aca="false">K32+O32</f>
        <v>2.3</v>
      </c>
      <c r="Q32" s="17" t="str">
        <f aca="false">IF(C32="None","no KV cache (single-pass encoder)",IF(C32="Enc-Dec","2 x "&amp;E32&amp;" dec-L x "&amp;H32&amp;" kv x "&amp;I32&amp;" hd x "&amp;$C$9&amp;"B x ("&amp;$C$7&amp;"+"&amp;J32&amp;"img) out-tok x "&amp;$C$5&amp;" seq","2 x ("&amp;E32&amp;"+"&amp;F32&amp;"w) L x "&amp;H32&amp;" kv x "&amp;I32&amp;" hd x "&amp;$C$9&amp;"B x ("&amp;$C$8&amp;"+"&amp;J32&amp;"img) tok x "&amp;$C$5&amp;" seq"))</f>
        <v>no KV cache (single-pass encoder)</v>
      </c>
      <c r="R32" s="22" t="s">
        <v>48</v>
      </c>
      <c r="S32" s="19" t="s">
        <v>82</v>
      </c>
      <c r="U32" s="12" t="str">
        <f aca="false">IF(P32&gt;Cards!$D$9,"multi-GPU / shard",IF(P32&lt;=Cards!$D$3,Cards!$A$3,INDEX(Cards!$A$3:$A$9,MATCH(P32,Cards!$D$3:$D$9,1)+1)))</f>
        <v>Intel Arc Pro B60 24GB</v>
      </c>
    </row>
    <row r="33" customFormat="false" ht="23.85" hidden="false" customHeight="false" outlineLevel="0" collapsed="false">
      <c r="A33" s="11" t="s">
        <v>83</v>
      </c>
      <c r="B33" s="12" t="s">
        <v>79</v>
      </c>
      <c r="C33" s="13" t="s">
        <v>60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0</v>
      </c>
      <c r="K33" s="21" t="n">
        <v>2.3</v>
      </c>
      <c r="L33" s="7" t="n">
        <f aca="false">IF(C33="None",0,2*H33*I33*$C$9)</f>
        <v>0</v>
      </c>
      <c r="M33" s="7" t="n">
        <f aca="false">IF(C33="None",0,IF(C33="Enc-Dec",E33*($C$7+J33),E33*($C$8+J33)+F33*MIN($C$8+J33,G33)))</f>
        <v>0</v>
      </c>
      <c r="N33" s="14" t="n">
        <f aca="false">L33*M33/1048576</f>
        <v>0</v>
      </c>
      <c r="O33" s="15" t="n">
        <f aca="false">L33*M33*$C$5*(1+$C$10)/1073741824</f>
        <v>0</v>
      </c>
      <c r="P33" s="16" t="n">
        <f aca="false">K33+O33</f>
        <v>2.3</v>
      </c>
      <c r="Q33" s="17" t="str">
        <f aca="false">IF(C33="None","no KV cache (single-pass encoder)",IF(C33="Enc-Dec","2 x "&amp;E33&amp;" dec-L x "&amp;H33&amp;" kv x "&amp;I33&amp;" hd x "&amp;$C$9&amp;"B x ("&amp;$C$7&amp;"+"&amp;J33&amp;"img) out-tok x "&amp;$C$5&amp;" seq","2 x ("&amp;E33&amp;"+"&amp;F33&amp;"w) L x "&amp;H33&amp;" kv x "&amp;I33&amp;" hd x "&amp;$C$9&amp;"B x ("&amp;$C$8&amp;"+"&amp;J33&amp;"img) tok x "&amp;$C$5&amp;" seq"))</f>
        <v>no KV cache (single-pass encoder)</v>
      </c>
      <c r="R33" s="22" t="s">
        <v>48</v>
      </c>
      <c r="S33" s="19" t="s">
        <v>84</v>
      </c>
      <c r="U33" s="12" t="str">
        <f aca="false">IF(P33&gt;Cards!$D$9,"multi-GPU / shard",IF(P33&lt;=Cards!$D$3,Cards!$A$3,INDEX(Cards!$A$3:$A$9,MATCH(P33,Cards!$D$3:$D$9,1)+1)))</f>
        <v>Intel Arc Pro B60 24GB</v>
      </c>
    </row>
    <row r="34" customFormat="false" ht="23.85" hidden="false" customHeight="false" outlineLevel="0" collapsed="false">
      <c r="A34" s="11" t="s">
        <v>85</v>
      </c>
      <c r="B34" s="12" t="s">
        <v>79</v>
      </c>
      <c r="C34" s="13" t="s">
        <v>60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1" t="n">
        <v>6</v>
      </c>
      <c r="L34" s="7" t="n">
        <f aca="false">IF(C34="None",0,2*H34*I34*$C$9)</f>
        <v>0</v>
      </c>
      <c r="M34" s="7" t="n">
        <f aca="false">IF(C34="None",0,IF(C34="Enc-Dec",E34*($C$7+J34),E34*($C$8+J34)+F34*MIN($C$8+J34,G34)))</f>
        <v>0</v>
      </c>
      <c r="N34" s="14" t="n">
        <f aca="false">L34*M34/1048576</f>
        <v>0</v>
      </c>
      <c r="O34" s="15" t="n">
        <f aca="false">L34*M34*$C$5*(1+$C$10)/1073741824</f>
        <v>0</v>
      </c>
      <c r="P34" s="16" t="n">
        <f aca="false">K34+O34</f>
        <v>6</v>
      </c>
      <c r="Q34" s="17" t="str">
        <f aca="false">IF(C34="None","no KV cache (single-pass encoder)",IF(C34="Enc-Dec","2 x "&amp;E34&amp;" dec-L x "&amp;H34&amp;" kv x "&amp;I34&amp;" hd x "&amp;$C$9&amp;"B x ("&amp;$C$7&amp;"+"&amp;J34&amp;"img) out-tok x "&amp;$C$5&amp;" seq","2 x ("&amp;E34&amp;"+"&amp;F34&amp;"w) L x "&amp;H34&amp;" kv x "&amp;I34&amp;" hd x "&amp;$C$9&amp;"B x ("&amp;$C$8&amp;"+"&amp;J34&amp;"img) tok x "&amp;$C$5&amp;" seq"))</f>
        <v>no KV cache (single-pass encoder)</v>
      </c>
      <c r="R34" s="22" t="s">
        <v>48</v>
      </c>
      <c r="S34" s="19" t="s">
        <v>86</v>
      </c>
      <c r="U34" s="12" t="str">
        <f aca="false">IF(P34&gt;Cards!$D$9,"multi-GPU / shard",IF(P34&lt;=Cards!$D$3,Cards!$A$3,INDEX(Cards!$A$3:$A$9,MATCH(P34,Cards!$D$3:$D$9,1)+1)))</f>
        <v>Intel Arc Pro B60 24GB</v>
      </c>
    </row>
    <row r="35" customFormat="false" ht="23.85" hidden="false" customHeight="false" outlineLevel="0" collapsed="false">
      <c r="A35" s="11" t="s">
        <v>87</v>
      </c>
      <c r="B35" s="12" t="s">
        <v>79</v>
      </c>
      <c r="C35" s="13" t="s">
        <v>60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  <c r="K35" s="21" t="n">
        <v>1.1</v>
      </c>
      <c r="L35" s="7" t="n">
        <f aca="false">IF(C35="None",0,2*H35*I35*$C$9)</f>
        <v>0</v>
      </c>
      <c r="M35" s="7" t="n">
        <f aca="false">IF(C35="None",0,IF(C35="Enc-Dec",E35*($C$7+J35),E35*($C$8+J35)+F35*MIN($C$8+J35,G35)))</f>
        <v>0</v>
      </c>
      <c r="N35" s="14" t="n">
        <f aca="false">L35*M35/1048576</f>
        <v>0</v>
      </c>
      <c r="O35" s="15" t="n">
        <f aca="false">L35*M35*$C$5*(1+$C$10)/1073741824</f>
        <v>0</v>
      </c>
      <c r="P35" s="16" t="n">
        <f aca="false">K35+O35</f>
        <v>1.1</v>
      </c>
      <c r="Q35" s="17" t="str">
        <f aca="false">IF(C35="None","no KV cache (single-pass encoder)",IF(C35="Enc-Dec","2 x "&amp;E35&amp;" dec-L x "&amp;H35&amp;" kv x "&amp;I35&amp;" hd x "&amp;$C$9&amp;"B x ("&amp;$C$7&amp;"+"&amp;J35&amp;"img) out-tok x "&amp;$C$5&amp;" seq","2 x ("&amp;E35&amp;"+"&amp;F35&amp;"w) L x "&amp;H35&amp;" kv x "&amp;I35&amp;" hd x "&amp;$C$9&amp;"B x ("&amp;$C$8&amp;"+"&amp;J35&amp;"img) tok x "&amp;$C$5&amp;" seq"))</f>
        <v>no KV cache (single-pass encoder)</v>
      </c>
      <c r="R35" s="22" t="s">
        <v>48</v>
      </c>
      <c r="S35" s="19" t="s">
        <v>88</v>
      </c>
      <c r="U35" s="12" t="str">
        <f aca="false">IF(P35&gt;Cards!$D$9,"multi-GPU / shard",IF(P35&lt;=Cards!$D$3,Cards!$A$3,INDEX(Cards!$A$3:$A$9,MATCH(P35,Cards!$D$3:$D$9,1)+1)))</f>
        <v>Intel Arc Pro B60 24GB</v>
      </c>
    </row>
    <row r="36" customFormat="false" ht="23.85" hidden="false" customHeight="false" outlineLevel="0" collapsed="false">
      <c r="A36" s="11" t="s">
        <v>89</v>
      </c>
      <c r="B36" s="12" t="s">
        <v>79</v>
      </c>
      <c r="C36" s="13" t="s">
        <v>60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1" t="n">
        <v>0.1</v>
      </c>
      <c r="L36" s="7" t="n">
        <f aca="false">IF(C36="None",0,2*H36*I36*$C$9)</f>
        <v>0</v>
      </c>
      <c r="M36" s="7" t="n">
        <f aca="false">IF(C36="None",0,IF(C36="Enc-Dec",E36*($C$7+J36),E36*($C$8+J36)+F36*MIN($C$8+J36,G36)))</f>
        <v>0</v>
      </c>
      <c r="N36" s="14" t="n">
        <f aca="false">L36*M36/1048576</f>
        <v>0</v>
      </c>
      <c r="O36" s="15" t="n">
        <f aca="false">L36*M36*$C$5*(1+$C$10)/1073741824</f>
        <v>0</v>
      </c>
      <c r="P36" s="16" t="n">
        <f aca="false">K36+O36</f>
        <v>0.1</v>
      </c>
      <c r="Q36" s="17" t="str">
        <f aca="false">IF(C36="None","no KV cache (single-pass encoder)",IF(C36="Enc-Dec","2 x "&amp;E36&amp;" dec-L x "&amp;H36&amp;" kv x "&amp;I36&amp;" hd x "&amp;$C$9&amp;"B x ("&amp;$C$7&amp;"+"&amp;J36&amp;"img) out-tok x "&amp;$C$5&amp;" seq","2 x ("&amp;E36&amp;"+"&amp;F36&amp;"w) L x "&amp;H36&amp;" kv x "&amp;I36&amp;" hd x "&amp;$C$9&amp;"B x ("&amp;$C$8&amp;"+"&amp;J36&amp;"img) tok x "&amp;$C$5&amp;" seq"))</f>
        <v>no KV cache (single-pass encoder)</v>
      </c>
      <c r="R36" s="22" t="s">
        <v>48</v>
      </c>
      <c r="S36" s="19" t="s">
        <v>90</v>
      </c>
      <c r="U36" s="12" t="str">
        <f aca="false">IF(P36&gt;Cards!$D$9,"multi-GPU / shard",IF(P36&lt;=Cards!$D$3,Cards!$A$3,INDEX(Cards!$A$3:$A$9,MATCH(P36,Cards!$D$3:$D$9,1)+1)))</f>
        <v>Intel Arc Pro B60 24GB</v>
      </c>
    </row>
    <row r="37" customFormat="false" ht="15" hidden="false" customHeight="false" outlineLevel="0" collapsed="false">
      <c r="A37" s="11" t="s">
        <v>91</v>
      </c>
      <c r="B37" s="12" t="s">
        <v>92</v>
      </c>
      <c r="C37" s="13" t="s">
        <v>38</v>
      </c>
      <c r="D37" s="6" t="n">
        <v>40</v>
      </c>
      <c r="E37" s="6" t="n">
        <v>40</v>
      </c>
      <c r="F37" s="6" t="n">
        <v>0</v>
      </c>
      <c r="G37" s="6" t="n">
        <v>0</v>
      </c>
      <c r="H37" s="6" t="n">
        <v>8</v>
      </c>
      <c r="I37" s="6" t="n">
        <v>64</v>
      </c>
      <c r="J37" s="6" t="n">
        <v>0</v>
      </c>
      <c r="K37" s="8" t="n">
        <v>4</v>
      </c>
      <c r="L37" s="7" t="n">
        <f aca="false">IF(C37="None",0,2*H37*I37*$C$9)</f>
        <v>2048</v>
      </c>
      <c r="M37" s="7" t="n">
        <f aca="false">IF(C37="None",0,IF(C37="Enc-Dec",E37*($C$7+J37),E37*($C$8+J37)+F37*MIN($C$8+J37,G37)))</f>
        <v>204800</v>
      </c>
      <c r="N37" s="14" t="n">
        <f aca="false">L37*M37/1048576</f>
        <v>400</v>
      </c>
      <c r="O37" s="15" t="n">
        <f aca="false">L37*M37*$C$5*(1+$C$10)/1073741824</f>
        <v>6.875</v>
      </c>
      <c r="P37" s="16" t="n">
        <f aca="false">K37+O37</f>
        <v>10.875</v>
      </c>
      <c r="Q37" s="17" t="str">
        <f aca="false">IF(C37="None","no KV cache (single-pass encoder)",IF(C37="Enc-Dec","2 x "&amp;E37&amp;" dec-L x "&amp;H37&amp;" kv x "&amp;I37&amp;" hd x "&amp;$C$9&amp;"B x ("&amp;$C$7&amp;"+"&amp;J37&amp;"img) out-tok x "&amp;$C$5&amp;" seq","2 x ("&amp;E37&amp;"+"&amp;F37&amp;"w) L x "&amp;H37&amp;" kv x "&amp;I37&amp;" hd x "&amp;$C$9&amp;"B x ("&amp;$C$8&amp;"+"&amp;J37&amp;"img) tok x "&amp;$C$5&amp;" seq"))</f>
        <v>2 x (40+0w) L x 8 kv x 64 hd x 2B x (5120+0img) tok x 16 seq</v>
      </c>
      <c r="R37" s="18" t="s">
        <v>39</v>
      </c>
      <c r="S37" s="19" t="s">
        <v>93</v>
      </c>
      <c r="U37" s="12" t="str">
        <f aca="false">IF(P37&gt;Cards!$D$9,"multi-GPU / shard",IF(P37&lt;=Cards!$D$3,Cards!$A$3,INDEX(Cards!$A$3:$A$9,MATCH(P37,Cards!$D$3:$D$9,1)+1)))</f>
        <v>Intel Arc Pro B60 24GB</v>
      </c>
    </row>
    <row r="38" customFormat="false" ht="22.35" hidden="false" customHeight="false" outlineLevel="0" collapsed="false">
      <c r="A38" s="11" t="s">
        <v>94</v>
      </c>
      <c r="B38" s="12" t="s">
        <v>92</v>
      </c>
      <c r="C38" s="13" t="s">
        <v>38</v>
      </c>
      <c r="D38" s="20" t="n">
        <v>32</v>
      </c>
      <c r="E38" s="20" t="n">
        <v>32</v>
      </c>
      <c r="F38" s="20" t="n">
        <v>0</v>
      </c>
      <c r="G38" s="20" t="n">
        <v>0</v>
      </c>
      <c r="H38" s="20" t="n">
        <v>8</v>
      </c>
      <c r="I38" s="20" t="n">
        <v>128</v>
      </c>
      <c r="J38" s="20" t="n">
        <v>0</v>
      </c>
      <c r="K38" s="21" t="n">
        <v>16</v>
      </c>
      <c r="L38" s="7" t="n">
        <f aca="false">IF(C38="None",0,2*H38*I38*$C$9)</f>
        <v>4096</v>
      </c>
      <c r="M38" s="7" t="n">
        <f aca="false">IF(C38="None",0,IF(C38="Enc-Dec",E38*($C$7+J38),E38*($C$8+J38)+F38*MIN($C$8+J38,G38)))</f>
        <v>163840</v>
      </c>
      <c r="N38" s="14" t="n">
        <f aca="false">L38*M38/1048576</f>
        <v>640</v>
      </c>
      <c r="O38" s="15" t="n">
        <f aca="false">L38*M38*$C$5*(1+$C$10)/1073741824</f>
        <v>11</v>
      </c>
      <c r="P38" s="16" t="n">
        <f aca="false">K38+O38</f>
        <v>27</v>
      </c>
      <c r="Q38" s="17" t="str">
        <f aca="false">IF(C38="None","no KV cache (single-pass encoder)",IF(C38="Enc-Dec","2 x "&amp;E38&amp;" dec-L x "&amp;H38&amp;" kv x "&amp;I38&amp;" hd x "&amp;$C$9&amp;"B x ("&amp;$C$7&amp;"+"&amp;J38&amp;"img) out-tok x "&amp;$C$5&amp;" seq","2 x ("&amp;E38&amp;"+"&amp;F38&amp;"w) L x "&amp;H38&amp;" kv x "&amp;I38&amp;" hd x "&amp;$C$9&amp;"B x ("&amp;$C$8&amp;"+"&amp;J38&amp;"img) tok x "&amp;$C$5&amp;" seq"))</f>
        <v>2 x (32+0w) L x 8 kv x 128 hd x 2B x (5120+0img) tok x 16 seq</v>
      </c>
      <c r="R38" s="22" t="s">
        <v>48</v>
      </c>
      <c r="S38" s="19" t="s">
        <v>95</v>
      </c>
      <c r="U38" s="12" t="str">
        <f aca="false">IF(P38&gt;Cards!$D$9,"multi-GPU / shard",IF(P38&lt;=Cards!$D$3,Cards!$A$3,INDEX(Cards!$A$3:$A$9,MATCH(P38,Cards!$D$3:$D$9,1)+1)))</f>
        <v>NVIDIA L40S 48GB</v>
      </c>
    </row>
    <row r="39" customFormat="false" ht="15" hidden="false" customHeight="false" outlineLevel="0" collapsed="false">
      <c r="A39" s="11" t="s">
        <v>96</v>
      </c>
      <c r="B39" s="12" t="s">
        <v>92</v>
      </c>
      <c r="C39" s="13" t="s">
        <v>60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8" t="n">
        <v>3</v>
      </c>
      <c r="L39" s="7" t="n">
        <f aca="false">IF(C39="None",0,2*H39*I39*$C$9)</f>
        <v>0</v>
      </c>
      <c r="M39" s="7" t="n">
        <f aca="false">IF(C39="None",0,IF(C39="Enc-Dec",E39*($C$7+J39),E39*($C$8+J39)+F39*MIN($C$8+J39,G39)))</f>
        <v>0</v>
      </c>
      <c r="N39" s="14" t="n">
        <f aca="false">L39*M39/1048576</f>
        <v>0</v>
      </c>
      <c r="O39" s="15" t="n">
        <f aca="false">L39*M39*$C$5*(1+$C$10)/1073741824</f>
        <v>0</v>
      </c>
      <c r="P39" s="16" t="n">
        <f aca="false">K39+O39</f>
        <v>3</v>
      </c>
      <c r="Q39" s="17" t="str">
        <f aca="false">IF(C39="None","no KV cache (single-pass encoder)",IF(C39="Enc-Dec","2 x "&amp;E39&amp;" dec-L x "&amp;H39&amp;" kv x "&amp;I39&amp;" hd x "&amp;$C$9&amp;"B x ("&amp;$C$7&amp;"+"&amp;J39&amp;"img) out-tok x "&amp;$C$5&amp;" seq","2 x ("&amp;E39&amp;"+"&amp;F39&amp;"w) L x "&amp;H39&amp;" kv x "&amp;I39&amp;" hd x "&amp;$C$9&amp;"B x ("&amp;$C$8&amp;"+"&amp;J39&amp;"img) tok x "&amp;$C$5&amp;" seq"))</f>
        <v>no KV cache (single-pass encoder)</v>
      </c>
      <c r="R39" s="18" t="s">
        <v>39</v>
      </c>
      <c r="S39" s="19" t="s">
        <v>97</v>
      </c>
      <c r="U39" s="12" t="str">
        <f aca="false">IF(P39&gt;Cards!$D$9,"multi-GPU / shard",IF(P39&lt;=Cards!$D$3,Cards!$A$3,INDEX(Cards!$A$3:$A$9,MATCH(P39,Cards!$D$3:$D$9,1)+1)))</f>
        <v>Intel Arc Pro B60 24GB</v>
      </c>
    </row>
    <row r="40" customFormat="false" ht="22.35" hidden="false" customHeight="false" outlineLevel="0" collapsed="false">
      <c r="A40" s="11" t="s">
        <v>98</v>
      </c>
      <c r="B40" s="12" t="s">
        <v>92</v>
      </c>
      <c r="C40" s="13" t="s">
        <v>38</v>
      </c>
      <c r="D40" s="6" t="n">
        <v>36</v>
      </c>
      <c r="E40" s="6" t="n">
        <v>36</v>
      </c>
      <c r="F40" s="6" t="n">
        <v>0</v>
      </c>
      <c r="G40" s="6" t="n">
        <v>0</v>
      </c>
      <c r="H40" s="6" t="n">
        <v>8</v>
      </c>
      <c r="I40" s="6" t="n">
        <v>128</v>
      </c>
      <c r="J40" s="6" t="n">
        <v>0</v>
      </c>
      <c r="K40" s="8" t="n">
        <v>8</v>
      </c>
      <c r="L40" s="7" t="n">
        <f aca="false">IF(C40="None",0,2*H40*I40*$C$9)</f>
        <v>4096</v>
      </c>
      <c r="M40" s="7" t="n">
        <f aca="false">IF(C40="None",0,IF(C40="Enc-Dec",E40*($C$7+J40),E40*($C$8+J40)+F40*MIN($C$8+J40,G40)))</f>
        <v>184320</v>
      </c>
      <c r="N40" s="14" t="n">
        <f aca="false">L40*M40/1048576</f>
        <v>720</v>
      </c>
      <c r="O40" s="15" t="n">
        <f aca="false">L40*M40*$C$5*(1+$C$10)/1073741824</f>
        <v>12.375</v>
      </c>
      <c r="P40" s="16" t="n">
        <f aca="false">K40+O40</f>
        <v>20.375</v>
      </c>
      <c r="Q40" s="17" t="str">
        <f aca="false">IF(C40="None","no KV cache (single-pass encoder)",IF(C40="Enc-Dec","2 x "&amp;E40&amp;" dec-L x "&amp;H40&amp;" kv x "&amp;I40&amp;" hd x "&amp;$C$9&amp;"B x ("&amp;$C$7&amp;"+"&amp;J40&amp;"img) out-tok x "&amp;$C$5&amp;" seq","2 x ("&amp;E40&amp;"+"&amp;F40&amp;"w) L x "&amp;H40&amp;" kv x "&amp;I40&amp;" hd x "&amp;$C$9&amp;"B x ("&amp;$C$8&amp;"+"&amp;J40&amp;"img) tok x "&amp;$C$5&amp;" seq"))</f>
        <v>2 x (36+0w) L x 8 kv x 128 hd x 2B x (5120+0img) tok x 16 seq</v>
      </c>
      <c r="R40" s="18" t="s">
        <v>39</v>
      </c>
      <c r="S40" s="19" t="s">
        <v>99</v>
      </c>
      <c r="U40" s="12" t="str">
        <f aca="false">IF(P40&gt;Cards!$D$9,"multi-GPU / shard",IF(P40&lt;=Cards!$D$3,Cards!$A$3,INDEX(Cards!$A$3:$A$9,MATCH(P40,Cards!$D$3:$D$9,1)+1)))</f>
        <v>Intel Arc Pro B60 24GB</v>
      </c>
    </row>
    <row r="41" customFormat="false" ht="22.35" hidden="false" customHeight="false" outlineLevel="0" collapsed="false">
      <c r="A41" s="11" t="s">
        <v>100</v>
      </c>
      <c r="B41" s="12" t="s">
        <v>92</v>
      </c>
      <c r="C41" s="13" t="s">
        <v>38</v>
      </c>
      <c r="D41" s="20" t="n">
        <v>26</v>
      </c>
      <c r="E41" s="20" t="n">
        <v>13</v>
      </c>
      <c r="F41" s="20" t="n">
        <v>13</v>
      </c>
      <c r="G41" s="20" t="n">
        <v>4096</v>
      </c>
      <c r="H41" s="20" t="n">
        <v>4</v>
      </c>
      <c r="I41" s="20" t="n">
        <v>256</v>
      </c>
      <c r="J41" s="20" t="n">
        <v>0</v>
      </c>
      <c r="K41" s="21" t="n">
        <v>4</v>
      </c>
      <c r="L41" s="7" t="n">
        <f aca="false">IF(C41="None",0,2*H41*I41*$C$9)</f>
        <v>4096</v>
      </c>
      <c r="M41" s="7" t="n">
        <f aca="false">IF(C41="None",0,IF(C41="Enc-Dec",E41*($C$7+J41),E41*($C$8+J41)+F41*MIN($C$8+J41,G41)))</f>
        <v>119808</v>
      </c>
      <c r="N41" s="14" t="n">
        <f aca="false">L41*M41/1048576</f>
        <v>468</v>
      </c>
      <c r="O41" s="15" t="n">
        <f aca="false">L41*M41*$C$5*(1+$C$10)/1073741824</f>
        <v>8.04375</v>
      </c>
      <c r="P41" s="16" t="n">
        <f aca="false">K41+O41</f>
        <v>12.04375</v>
      </c>
      <c r="Q41" s="17" t="str">
        <f aca="false">IF(C41="None","no KV cache (single-pass encoder)",IF(C41="Enc-Dec","2 x "&amp;E41&amp;" dec-L x "&amp;H41&amp;" kv x "&amp;I41&amp;" hd x "&amp;$C$9&amp;"B x ("&amp;$C$7&amp;"+"&amp;J41&amp;"img) out-tok x "&amp;$C$5&amp;" seq","2 x ("&amp;E41&amp;"+"&amp;F41&amp;"w) L x "&amp;H41&amp;" kv x "&amp;I41&amp;" hd x "&amp;$C$9&amp;"B x ("&amp;$C$8&amp;"+"&amp;J41&amp;"img) tok x "&amp;$C$5&amp;" seq"))</f>
        <v>2 x (13+13w) L x 4 kv x 256 hd x 2B x (5120+0img) tok x 16 seq</v>
      </c>
      <c r="R41" s="22" t="s">
        <v>48</v>
      </c>
      <c r="S41" s="19" t="s">
        <v>101</v>
      </c>
      <c r="U41" s="12" t="str">
        <f aca="false">IF(P41&gt;Cards!$D$9,"multi-GPU / shard",IF(P41&lt;=Cards!$D$3,Cards!$A$3,INDEX(Cards!$A$3:$A$9,MATCH(P41,Cards!$D$3:$D$9,1)+1)))</f>
        <v>Intel Arc Pro B60 24GB</v>
      </c>
    </row>
    <row r="42" customFormat="false" ht="22.35" hidden="false" customHeight="false" outlineLevel="0" collapsed="false">
      <c r="A42" s="11" t="s">
        <v>102</v>
      </c>
      <c r="B42" s="12" t="s">
        <v>103</v>
      </c>
      <c r="C42" s="13" t="s">
        <v>104</v>
      </c>
      <c r="D42" s="20" t="n">
        <v>30</v>
      </c>
      <c r="E42" s="20" t="n">
        <v>4</v>
      </c>
      <c r="F42" s="20" t="n">
        <v>26</v>
      </c>
      <c r="G42" s="20" t="n">
        <v>4096</v>
      </c>
      <c r="H42" s="20" t="n">
        <v>4</v>
      </c>
      <c r="I42" s="20" t="n">
        <v>256</v>
      </c>
      <c r="J42" s="20" t="n">
        <v>0</v>
      </c>
      <c r="K42" s="21" t="n">
        <v>50</v>
      </c>
      <c r="L42" s="7" t="n">
        <f aca="false">IF(C42="None",0,2*H42*I42*$C$9)</f>
        <v>4096</v>
      </c>
      <c r="M42" s="7" t="n">
        <f aca="false">IF(C42="None",0,IF(C42="Enc-Dec",E42*($C$7+J42),E42*($C$8+J42)+F42*MIN($C$8+J42,G42)))</f>
        <v>126976</v>
      </c>
      <c r="N42" s="14" t="n">
        <f aca="false">L42*M42/1048576</f>
        <v>496</v>
      </c>
      <c r="O42" s="15" t="n">
        <f aca="false">L42*M42*$C$5*(1+$C$10)/1073741824</f>
        <v>8.525</v>
      </c>
      <c r="P42" s="16" t="n">
        <f aca="false">K42+O42</f>
        <v>58.525</v>
      </c>
      <c r="Q42" s="17" t="str">
        <f aca="false">IF(C42="None","no KV cache (single-pass encoder)",IF(C42="Enc-Dec","2 x "&amp;E42&amp;" dec-L x "&amp;H42&amp;" kv x "&amp;I42&amp;" hd x "&amp;$C$9&amp;"B x ("&amp;$C$7&amp;"+"&amp;J42&amp;"img) out-tok x "&amp;$C$5&amp;" seq","2 x ("&amp;E42&amp;"+"&amp;F42&amp;"w) L x "&amp;H42&amp;" kv x "&amp;I42&amp;" hd x "&amp;$C$9&amp;"B x ("&amp;$C$8&amp;"+"&amp;J42&amp;"img) tok x "&amp;$C$5&amp;" seq"))</f>
        <v>2 x (4+26w) L x 4 kv x 256 hd x 2B x (5120+0img) tok x 16 seq</v>
      </c>
      <c r="R42" s="22" t="s">
        <v>48</v>
      </c>
      <c r="S42" s="19" t="s">
        <v>105</v>
      </c>
      <c r="U42" s="12" t="str">
        <f aca="false">IF(P42&gt;Cards!$D$9,"multi-GPU / shard",IF(P42&lt;=Cards!$D$3,Cards!$A$3,INDEX(Cards!$A$3:$A$9,MATCH(P42,Cards!$D$3:$D$9,1)+1)))</f>
        <v>NVIDIA H100 SXM 80GB</v>
      </c>
    </row>
    <row r="43" customFormat="false" ht="22.35" hidden="false" customHeight="false" outlineLevel="0" collapsed="false">
      <c r="A43" s="11" t="s">
        <v>106</v>
      </c>
      <c r="B43" s="12" t="s">
        <v>103</v>
      </c>
      <c r="C43" s="13" t="s">
        <v>104</v>
      </c>
      <c r="D43" s="20" t="n">
        <v>34</v>
      </c>
      <c r="E43" s="20" t="n">
        <v>6</v>
      </c>
      <c r="F43" s="20" t="n">
        <v>28</v>
      </c>
      <c r="G43" s="20" t="n">
        <v>1024</v>
      </c>
      <c r="H43" s="20" t="n">
        <v>4</v>
      </c>
      <c r="I43" s="20" t="n">
        <v>256</v>
      </c>
      <c r="J43" s="20" t="n">
        <v>0</v>
      </c>
      <c r="K43" s="21" t="n">
        <v>8</v>
      </c>
      <c r="L43" s="7" t="n">
        <f aca="false">IF(C43="None",0,2*H43*I43*$C$9)</f>
        <v>4096</v>
      </c>
      <c r="M43" s="7" t="n">
        <f aca="false">IF(C43="None",0,IF(C43="Enc-Dec",E43*($C$7+J43),E43*($C$8+J43)+F43*MIN($C$8+J43,G43)))</f>
        <v>59392</v>
      </c>
      <c r="N43" s="14" t="n">
        <f aca="false">L43*M43/1048576</f>
        <v>232</v>
      </c>
      <c r="O43" s="15" t="n">
        <f aca="false">L43*M43*$C$5*(1+$C$10)/1073741824</f>
        <v>3.9875</v>
      </c>
      <c r="P43" s="16" t="n">
        <f aca="false">K43+O43</f>
        <v>11.9875</v>
      </c>
      <c r="Q43" s="17" t="str">
        <f aca="false">IF(C43="None","no KV cache (single-pass encoder)",IF(C43="Enc-Dec","2 x "&amp;E43&amp;" dec-L x "&amp;H43&amp;" kv x "&amp;I43&amp;" hd x "&amp;$C$9&amp;"B x ("&amp;$C$7&amp;"+"&amp;J43&amp;"img) out-tok x "&amp;$C$5&amp;" seq","2 x ("&amp;E43&amp;"+"&amp;F43&amp;"w) L x "&amp;H43&amp;" kv x "&amp;I43&amp;" hd x "&amp;$C$9&amp;"B x ("&amp;$C$8&amp;"+"&amp;J43&amp;"img) tok x "&amp;$C$5&amp;" seq"))</f>
        <v>2 x (6+28w) L x 4 kv x 256 hd x 2B x (5120+0img) tok x 16 seq</v>
      </c>
      <c r="R43" s="22" t="s">
        <v>48</v>
      </c>
      <c r="S43" s="19" t="s">
        <v>107</v>
      </c>
      <c r="U43" s="12" t="str">
        <f aca="false">IF(P43&gt;Cards!$D$9,"multi-GPU / shard",IF(P43&lt;=Cards!$D$3,Cards!$A$3,INDEX(Cards!$A$3:$A$9,MATCH(P43,Cards!$D$3:$D$9,1)+1)))</f>
        <v>Intel Arc Pro B60 24GB</v>
      </c>
    </row>
    <row r="44" customFormat="false" ht="22.35" hidden="false" customHeight="false" outlineLevel="0" collapsed="false">
      <c r="A44" s="11" t="s">
        <v>108</v>
      </c>
      <c r="B44" s="12" t="s">
        <v>103</v>
      </c>
      <c r="C44" s="13" t="s">
        <v>104</v>
      </c>
      <c r="D44" s="6" t="n">
        <v>34</v>
      </c>
      <c r="E44" s="6" t="n">
        <v>6</v>
      </c>
      <c r="F44" s="6" t="n">
        <v>28</v>
      </c>
      <c r="G44" s="6" t="n">
        <v>1024</v>
      </c>
      <c r="H44" s="6" t="n">
        <v>4</v>
      </c>
      <c r="I44" s="6" t="n">
        <v>256</v>
      </c>
      <c r="J44" s="6" t="n">
        <v>0</v>
      </c>
      <c r="K44" s="8" t="n">
        <v>8</v>
      </c>
      <c r="L44" s="7" t="n">
        <f aca="false">IF(C44="None",0,2*H44*I44*$C$9)</f>
        <v>4096</v>
      </c>
      <c r="M44" s="7" t="n">
        <f aca="false">IF(C44="None",0,IF(C44="Enc-Dec",E44*($C$7+J44),E44*($C$8+J44)+F44*MIN($C$8+J44,G44)))</f>
        <v>59392</v>
      </c>
      <c r="N44" s="14" t="n">
        <f aca="false">L44*M44/1048576</f>
        <v>232</v>
      </c>
      <c r="O44" s="15" t="n">
        <f aca="false">L44*M44*$C$5*(1+$C$10)/1073741824</f>
        <v>3.9875</v>
      </c>
      <c r="P44" s="16" t="n">
        <f aca="false">K44+O44</f>
        <v>11.9875</v>
      </c>
      <c r="Q44" s="17" t="str">
        <f aca="false">IF(C44="None","no KV cache (single-pass encoder)",IF(C44="Enc-Dec","2 x "&amp;E44&amp;" dec-L x "&amp;H44&amp;" kv x "&amp;I44&amp;" hd x "&amp;$C$9&amp;"B x ("&amp;$C$7&amp;"+"&amp;J44&amp;"img) out-tok x "&amp;$C$5&amp;" seq","2 x ("&amp;E44&amp;"+"&amp;F44&amp;"w) L x "&amp;H44&amp;" kv x "&amp;I44&amp;" hd x "&amp;$C$9&amp;"B x ("&amp;$C$8&amp;"+"&amp;J44&amp;"img) tok x "&amp;$C$5&amp;" seq"))</f>
        <v>2 x (6+28w) L x 4 kv x 256 hd x 2B x (5120+0img) tok x 16 seq</v>
      </c>
      <c r="R44" s="18" t="s">
        <v>39</v>
      </c>
      <c r="S44" s="19" t="s">
        <v>109</v>
      </c>
      <c r="U44" s="12" t="str">
        <f aca="false">IF(P44&gt;Cards!$D$9,"multi-GPU / shard",IF(P44&lt;=Cards!$D$3,Cards!$A$3,INDEX(Cards!$A$3:$A$9,MATCH(P44,Cards!$D$3:$D$9,1)+1)))</f>
        <v>Intel Arc Pro B60 24GB</v>
      </c>
    </row>
    <row r="45" customFormat="false" ht="22.35" hidden="false" customHeight="false" outlineLevel="0" collapsed="false">
      <c r="A45" s="11" t="s">
        <v>110</v>
      </c>
      <c r="B45" s="12" t="s">
        <v>103</v>
      </c>
      <c r="C45" s="13" t="s">
        <v>104</v>
      </c>
      <c r="D45" s="20" t="n">
        <v>36</v>
      </c>
      <c r="E45" s="20" t="n">
        <v>18</v>
      </c>
      <c r="F45" s="20" t="n">
        <v>18</v>
      </c>
      <c r="G45" s="20" t="n">
        <v>128</v>
      </c>
      <c r="H45" s="20" t="n">
        <v>8</v>
      </c>
      <c r="I45" s="20" t="n">
        <v>64</v>
      </c>
      <c r="J45" s="20" t="n">
        <v>0</v>
      </c>
      <c r="K45" s="21" t="n">
        <v>60</v>
      </c>
      <c r="L45" s="7" t="n">
        <f aca="false">IF(C45="None",0,2*H45*I45*$C$9)</f>
        <v>2048</v>
      </c>
      <c r="M45" s="7" t="n">
        <f aca="false">IF(C45="None",0,IF(C45="Enc-Dec",E45*($C$7+J45),E45*($C$8+J45)+F45*MIN($C$8+J45,G45)))</f>
        <v>94464</v>
      </c>
      <c r="N45" s="14" t="n">
        <f aca="false">L45*M45/1048576</f>
        <v>184.5</v>
      </c>
      <c r="O45" s="15" t="n">
        <f aca="false">L45*M45*$C$5*(1+$C$10)/1073741824</f>
        <v>3.17109375</v>
      </c>
      <c r="P45" s="16" t="n">
        <f aca="false">K45+O45</f>
        <v>63.17109375</v>
      </c>
      <c r="Q45" s="17" t="str">
        <f aca="false">IF(C45="None","no KV cache (single-pass encoder)",IF(C45="Enc-Dec","2 x "&amp;E45&amp;" dec-L x "&amp;H45&amp;" kv x "&amp;I45&amp;" hd x "&amp;$C$9&amp;"B x ("&amp;$C$7&amp;"+"&amp;J45&amp;"img) out-tok x "&amp;$C$5&amp;" seq","2 x ("&amp;E45&amp;"+"&amp;F45&amp;"w) L x "&amp;H45&amp;" kv x "&amp;I45&amp;" hd x "&amp;$C$9&amp;"B x ("&amp;$C$8&amp;"+"&amp;J45&amp;"img) tok x "&amp;$C$5&amp;" seq"))</f>
        <v>2 x (18+18w) L x 8 kv x 64 hd x 2B x (5120+0img) tok x 16 seq</v>
      </c>
      <c r="R45" s="22" t="s">
        <v>48</v>
      </c>
      <c r="S45" s="19" t="s">
        <v>111</v>
      </c>
      <c r="U45" s="12" t="str">
        <f aca="false">IF(P45&gt;Cards!$D$9,"multi-GPU / shard",IF(P45&lt;=Cards!$D$3,Cards!$A$3,INDEX(Cards!$A$3:$A$9,MATCH(P45,Cards!$D$3:$D$9,1)+1)))</f>
        <v>NVIDIA H100 SXM 80GB</v>
      </c>
    </row>
    <row r="46" customFormat="false" ht="22.35" hidden="false" customHeight="false" outlineLevel="0" collapsed="false">
      <c r="A46" s="11" t="s">
        <v>112</v>
      </c>
      <c r="B46" s="12" t="s">
        <v>103</v>
      </c>
      <c r="C46" s="13" t="s">
        <v>104</v>
      </c>
      <c r="D46" s="6" t="n">
        <v>6</v>
      </c>
      <c r="E46" s="6" t="n">
        <v>6</v>
      </c>
      <c r="F46" s="6" t="n">
        <v>0</v>
      </c>
      <c r="G46" s="6" t="n">
        <v>0</v>
      </c>
      <c r="H46" s="6" t="n">
        <v>8</v>
      </c>
      <c r="I46" s="6" t="n">
        <v>128</v>
      </c>
      <c r="J46" s="6" t="n">
        <v>0</v>
      </c>
      <c r="K46" s="8" t="n">
        <v>2.4</v>
      </c>
      <c r="L46" s="7" t="n">
        <f aca="false">IF(C46="None",0,2*H46*I46*$C$9)</f>
        <v>4096</v>
      </c>
      <c r="M46" s="7" t="n">
        <f aca="false">IF(C46="None",0,IF(C46="Enc-Dec",E46*($C$7+J46),E46*($C$8+J46)+F46*MIN($C$8+J46,G46)))</f>
        <v>30720</v>
      </c>
      <c r="N46" s="14" t="n">
        <f aca="false">L46*M46/1048576</f>
        <v>120</v>
      </c>
      <c r="O46" s="15" t="n">
        <f aca="false">L46*M46*$C$5*(1+$C$10)/1073741824</f>
        <v>2.0625</v>
      </c>
      <c r="P46" s="16" t="n">
        <f aca="false">K46+O46</f>
        <v>4.4625</v>
      </c>
      <c r="Q46" s="17" t="str">
        <f aca="false">IF(C46="None","no KV cache (single-pass encoder)",IF(C46="Enc-Dec","2 x "&amp;E46&amp;" dec-L x "&amp;H46&amp;" kv x "&amp;I46&amp;" hd x "&amp;$C$9&amp;"B x ("&amp;$C$7&amp;"+"&amp;J46&amp;"img) out-tok x "&amp;$C$5&amp;" seq","2 x ("&amp;E46&amp;"+"&amp;F46&amp;"w) L x "&amp;H46&amp;" kv x "&amp;I46&amp;" hd x "&amp;$C$9&amp;"B x ("&amp;$C$8&amp;"+"&amp;J46&amp;"img) tok x "&amp;$C$5&amp;" seq"))</f>
        <v>2 x (6+0w) L x 8 kv x 128 hd x 2B x (5120+0img) tok x 16 seq</v>
      </c>
      <c r="R46" s="18" t="s">
        <v>39</v>
      </c>
      <c r="S46" s="19" t="s">
        <v>113</v>
      </c>
      <c r="U46" s="12" t="str">
        <f aca="false">IF(P46&gt;Cards!$D$9,"multi-GPU / shard",IF(P46&lt;=Cards!$D$3,Cards!$A$3,INDEX(Cards!$A$3:$A$9,MATCH(P46,Cards!$D$3:$D$9,1)+1)))</f>
        <v>Intel Arc Pro B60 24GB</v>
      </c>
    </row>
    <row r="47" customFormat="false" ht="22.35" hidden="false" customHeight="false" outlineLevel="0" collapsed="false">
      <c r="A47" s="11" t="s">
        <v>114</v>
      </c>
      <c r="B47" s="12" t="s">
        <v>103</v>
      </c>
      <c r="C47" s="13" t="s">
        <v>38</v>
      </c>
      <c r="D47" s="20" t="n">
        <v>80</v>
      </c>
      <c r="E47" s="20" t="n">
        <v>80</v>
      </c>
      <c r="F47" s="20" t="n">
        <v>0</v>
      </c>
      <c r="G47" s="20" t="n">
        <v>0</v>
      </c>
      <c r="H47" s="20" t="n">
        <v>8</v>
      </c>
      <c r="I47" s="20" t="n">
        <v>128</v>
      </c>
      <c r="J47" s="20" t="n">
        <v>0</v>
      </c>
      <c r="K47" s="21" t="n">
        <v>141</v>
      </c>
      <c r="L47" s="7" t="n">
        <f aca="false">IF(C47="None",0,2*H47*I47*$C$9)</f>
        <v>4096</v>
      </c>
      <c r="M47" s="7" t="n">
        <f aca="false">IF(C47="None",0,IF(C47="Enc-Dec",E47*($C$7+J47),E47*($C$8+J47)+F47*MIN($C$8+J47,G47)))</f>
        <v>409600</v>
      </c>
      <c r="N47" s="14" t="n">
        <f aca="false">L47*M47/1048576</f>
        <v>1600</v>
      </c>
      <c r="O47" s="15" t="n">
        <f aca="false">L47*M47*$C$5*(1+$C$10)/1073741824</f>
        <v>27.5</v>
      </c>
      <c r="P47" s="16" t="n">
        <f aca="false">K47+O47</f>
        <v>168.5</v>
      </c>
      <c r="Q47" s="17" t="str">
        <f aca="false">IF(C47="None","no KV cache (single-pass encoder)",IF(C47="Enc-Dec","2 x "&amp;E47&amp;" dec-L x "&amp;H47&amp;" kv x "&amp;I47&amp;" hd x "&amp;$C$9&amp;"B x ("&amp;$C$7&amp;"+"&amp;J47&amp;"img) out-tok x "&amp;$C$5&amp;" seq","2 x ("&amp;E47&amp;"+"&amp;F47&amp;"w) L x "&amp;H47&amp;" kv x "&amp;I47&amp;" hd x "&amp;$C$9&amp;"B x ("&amp;$C$8&amp;"+"&amp;J47&amp;"img) tok x "&amp;$C$5&amp;" seq"))</f>
        <v>2 x (80+0w) L x 8 kv x 128 hd x 2B x (5120+0img) tok x 16 seq</v>
      </c>
      <c r="R47" s="22" t="s">
        <v>48</v>
      </c>
      <c r="S47" s="19" t="s">
        <v>115</v>
      </c>
      <c r="U47" s="12" t="str">
        <f aca="false">IF(P47&gt;Cards!$D$9,"multi-GPU / shard",IF(P47&lt;=Cards!$D$3,Cards!$A$3,INDEX(Cards!$A$3:$A$9,MATCH(P47,Cards!$D$3:$D$9,1)+1)))</f>
        <v>AMD MI300X 192GB</v>
      </c>
    </row>
    <row r="48" customFormat="false" ht="15" hidden="false" customHeight="false" outlineLevel="0" collapsed="false">
      <c r="A48" s="11" t="s">
        <v>116</v>
      </c>
      <c r="B48" s="12" t="s">
        <v>103</v>
      </c>
      <c r="C48" s="13" t="s">
        <v>38</v>
      </c>
      <c r="D48" s="20" t="n">
        <v>16</v>
      </c>
      <c r="E48" s="20" t="n">
        <v>16</v>
      </c>
      <c r="F48" s="20" t="n">
        <v>0</v>
      </c>
      <c r="G48" s="20" t="n">
        <v>0</v>
      </c>
      <c r="H48" s="20" t="n">
        <v>8</v>
      </c>
      <c r="I48" s="20" t="n">
        <v>64</v>
      </c>
      <c r="J48" s="20" t="n">
        <v>0</v>
      </c>
      <c r="K48" s="21" t="n">
        <v>2.5</v>
      </c>
      <c r="L48" s="7" t="n">
        <f aca="false">IF(C48="None",0,2*H48*I48*$C$9)</f>
        <v>2048</v>
      </c>
      <c r="M48" s="7" t="n">
        <f aca="false">IF(C48="None",0,IF(C48="Enc-Dec",E48*($C$7+J48),E48*($C$8+J48)+F48*MIN($C$8+J48,G48)))</f>
        <v>81920</v>
      </c>
      <c r="N48" s="14" t="n">
        <f aca="false">L48*M48/1048576</f>
        <v>160</v>
      </c>
      <c r="O48" s="15" t="n">
        <f aca="false">L48*M48*$C$5*(1+$C$10)/1073741824</f>
        <v>2.75</v>
      </c>
      <c r="P48" s="16" t="n">
        <f aca="false">K48+O48</f>
        <v>5.25</v>
      </c>
      <c r="Q48" s="17" t="str">
        <f aca="false">IF(C48="None","no KV cache (single-pass encoder)",IF(C48="Enc-Dec","2 x "&amp;E48&amp;" dec-L x "&amp;H48&amp;" kv x "&amp;I48&amp;" hd x "&amp;$C$9&amp;"B x ("&amp;$C$7&amp;"+"&amp;J48&amp;"img) out-tok x "&amp;$C$5&amp;" seq","2 x ("&amp;E48&amp;"+"&amp;F48&amp;"w) L x "&amp;H48&amp;" kv x "&amp;I48&amp;" hd x "&amp;$C$9&amp;"B x ("&amp;$C$8&amp;"+"&amp;J48&amp;"img) tok x "&amp;$C$5&amp;" seq"))</f>
        <v>2 x (16+0w) L x 8 kv x 64 hd x 2B x (5120+0img) tok x 16 seq</v>
      </c>
      <c r="R48" s="22" t="s">
        <v>48</v>
      </c>
      <c r="S48" s="19" t="s">
        <v>117</v>
      </c>
      <c r="U48" s="12" t="str">
        <f aca="false">IF(P48&gt;Cards!$D$9,"multi-GPU / shard",IF(P48&lt;=Cards!$D$3,Cards!$A$3,INDEX(Cards!$A$3:$A$9,MATCH(P48,Cards!$D$3:$D$9,1)+1)))</f>
        <v>Intel Arc Pro B60 24GB</v>
      </c>
    </row>
    <row r="49" customFormat="false" ht="22.35" hidden="false" customHeight="false" outlineLevel="0" collapsed="false">
      <c r="A49" s="11" t="s">
        <v>118</v>
      </c>
      <c r="B49" s="12" t="s">
        <v>103</v>
      </c>
      <c r="C49" s="13" t="s">
        <v>38</v>
      </c>
      <c r="D49" s="6" t="n">
        <v>32</v>
      </c>
      <c r="E49" s="6" t="n">
        <v>32</v>
      </c>
      <c r="F49" s="6" t="n">
        <v>0</v>
      </c>
      <c r="G49" s="6" t="n">
        <v>0</v>
      </c>
      <c r="H49" s="6" t="n">
        <v>8</v>
      </c>
      <c r="I49" s="6" t="n">
        <v>128</v>
      </c>
      <c r="J49" s="6" t="n">
        <v>0</v>
      </c>
      <c r="K49" s="8" t="n">
        <v>16</v>
      </c>
      <c r="L49" s="7" t="n">
        <f aca="false">IF(C49="None",0,2*H49*I49*$C$9)</f>
        <v>4096</v>
      </c>
      <c r="M49" s="7" t="n">
        <f aca="false">IF(C49="None",0,IF(C49="Enc-Dec",E49*($C$7+J49),E49*($C$8+J49)+F49*MIN($C$8+J49,G49)))</f>
        <v>163840</v>
      </c>
      <c r="N49" s="14" t="n">
        <f aca="false">L49*M49/1048576</f>
        <v>640</v>
      </c>
      <c r="O49" s="15" t="n">
        <f aca="false">L49*M49*$C$5*(1+$C$10)/1073741824</f>
        <v>11</v>
      </c>
      <c r="P49" s="16" t="n">
        <f aca="false">K49+O49</f>
        <v>27</v>
      </c>
      <c r="Q49" s="17" t="str">
        <f aca="false">IF(C49="None","no KV cache (single-pass encoder)",IF(C49="Enc-Dec","2 x "&amp;E49&amp;" dec-L x "&amp;H49&amp;" kv x "&amp;I49&amp;" hd x "&amp;$C$9&amp;"B x ("&amp;$C$7&amp;"+"&amp;J49&amp;"img) out-tok x "&amp;$C$5&amp;" seq","2 x ("&amp;E49&amp;"+"&amp;F49&amp;"w) L x "&amp;H49&amp;" kv x "&amp;I49&amp;" hd x "&amp;$C$9&amp;"B x ("&amp;$C$8&amp;"+"&amp;J49&amp;"img) tok x "&amp;$C$5&amp;" seq"))</f>
        <v>2 x (32+0w) L x 8 kv x 128 hd x 2B x (5120+0img) tok x 16 seq</v>
      </c>
      <c r="R49" s="18" t="s">
        <v>39</v>
      </c>
      <c r="S49" s="19" t="s">
        <v>119</v>
      </c>
      <c r="U49" s="12" t="str">
        <f aca="false">IF(P49&gt;Cards!$D$9,"multi-GPU / shard",IF(P49&lt;=Cards!$D$3,Cards!$A$3,INDEX(Cards!$A$3:$A$9,MATCH(P49,Cards!$D$3:$D$9,1)+1)))</f>
        <v>NVIDIA L40S 48GB</v>
      </c>
    </row>
    <row r="50" customFormat="false" ht="22.35" hidden="false" customHeight="false" outlineLevel="0" collapsed="false">
      <c r="A50" s="11" t="s">
        <v>120</v>
      </c>
      <c r="B50" s="12" t="s">
        <v>103</v>
      </c>
      <c r="C50" s="13" t="s">
        <v>38</v>
      </c>
      <c r="D50" s="20" t="n">
        <v>48</v>
      </c>
      <c r="E50" s="20" t="n">
        <v>48</v>
      </c>
      <c r="F50" s="20" t="n">
        <v>0</v>
      </c>
      <c r="G50" s="20" t="n">
        <v>0</v>
      </c>
      <c r="H50" s="20" t="n">
        <v>4</v>
      </c>
      <c r="I50" s="20" t="n">
        <v>128</v>
      </c>
      <c r="J50" s="20" t="n">
        <v>0</v>
      </c>
      <c r="K50" s="21" t="n">
        <v>60</v>
      </c>
      <c r="L50" s="7" t="n">
        <f aca="false">IF(C50="None",0,2*H50*I50*$C$9)</f>
        <v>2048</v>
      </c>
      <c r="M50" s="7" t="n">
        <f aca="false">IF(C50="None",0,IF(C50="Enc-Dec",E50*($C$7+J50),E50*($C$8+J50)+F50*MIN($C$8+J50,G50)))</f>
        <v>245760</v>
      </c>
      <c r="N50" s="14" t="n">
        <f aca="false">L50*M50/1048576</f>
        <v>480</v>
      </c>
      <c r="O50" s="15" t="n">
        <f aca="false">L50*M50*$C$5*(1+$C$10)/1073741824</f>
        <v>8.25</v>
      </c>
      <c r="P50" s="16" t="n">
        <f aca="false">K50+O50</f>
        <v>68.25</v>
      </c>
      <c r="Q50" s="17" t="str">
        <f aca="false">IF(C50="None","no KV cache (single-pass encoder)",IF(C50="Enc-Dec","2 x "&amp;E50&amp;" dec-L x "&amp;H50&amp;" kv x "&amp;I50&amp;" hd x "&amp;$C$9&amp;"B x ("&amp;$C$7&amp;"+"&amp;J50&amp;"img) out-tok x "&amp;$C$5&amp;" seq","2 x ("&amp;E50&amp;"+"&amp;F50&amp;"w) L x "&amp;H50&amp;" kv x "&amp;I50&amp;" hd x "&amp;$C$9&amp;"B x ("&amp;$C$8&amp;"+"&amp;J50&amp;"img) tok x "&amp;$C$5&amp;" seq"))</f>
        <v>2 x (48+0w) L x 4 kv x 128 hd x 2B x (5120+0img) tok x 16 seq</v>
      </c>
      <c r="R50" s="22" t="s">
        <v>48</v>
      </c>
      <c r="S50" s="19" t="s">
        <v>121</v>
      </c>
      <c r="U50" s="12" t="str">
        <f aca="false">IF(P50&gt;Cards!$D$9,"multi-GPU / shard",IF(P50&lt;=Cards!$D$3,Cards!$A$3,INDEX(Cards!$A$3:$A$9,MATCH(P50,Cards!$D$3:$D$9,1)+1)))</f>
        <v>NVIDIA H100 SXM 80GB</v>
      </c>
    </row>
    <row r="51" customFormat="false" ht="22.35" hidden="false" customHeight="false" outlineLevel="0" collapsed="false">
      <c r="A51" s="11" t="s">
        <v>122</v>
      </c>
      <c r="B51" s="12" t="s">
        <v>103</v>
      </c>
      <c r="C51" s="13" t="s">
        <v>38</v>
      </c>
      <c r="D51" s="6" t="n">
        <v>36</v>
      </c>
      <c r="E51" s="6" t="n">
        <v>36</v>
      </c>
      <c r="F51" s="6" t="n">
        <v>0</v>
      </c>
      <c r="G51" s="6" t="n">
        <v>0</v>
      </c>
      <c r="H51" s="6" t="n">
        <v>8</v>
      </c>
      <c r="I51" s="6" t="n">
        <v>128</v>
      </c>
      <c r="J51" s="6" t="n">
        <v>0</v>
      </c>
      <c r="K51" s="8" t="n">
        <v>8</v>
      </c>
      <c r="L51" s="7" t="n">
        <f aca="false">IF(C51="None",0,2*H51*I51*$C$9)</f>
        <v>4096</v>
      </c>
      <c r="M51" s="7" t="n">
        <f aca="false">IF(C51="None",0,IF(C51="Enc-Dec",E51*($C$7+J51),E51*($C$8+J51)+F51*MIN($C$8+J51,G51)))</f>
        <v>184320</v>
      </c>
      <c r="N51" s="14" t="n">
        <f aca="false">L51*M51/1048576</f>
        <v>720</v>
      </c>
      <c r="O51" s="15" t="n">
        <f aca="false">L51*M51*$C$5*(1+$C$10)/1073741824</f>
        <v>12.375</v>
      </c>
      <c r="P51" s="16" t="n">
        <f aca="false">K51+O51</f>
        <v>20.375</v>
      </c>
      <c r="Q51" s="17" t="str">
        <f aca="false">IF(C51="None","no KV cache (single-pass encoder)",IF(C51="Enc-Dec","2 x "&amp;E51&amp;" dec-L x "&amp;H51&amp;" kv x "&amp;I51&amp;" hd x "&amp;$C$9&amp;"B x ("&amp;$C$7&amp;"+"&amp;J51&amp;"img) out-tok x "&amp;$C$5&amp;" seq","2 x ("&amp;E51&amp;"+"&amp;F51&amp;"w) L x "&amp;H51&amp;" kv x "&amp;I51&amp;" hd x "&amp;$C$9&amp;"B x ("&amp;$C$8&amp;"+"&amp;J51&amp;"img) tok x "&amp;$C$5&amp;" seq"))</f>
        <v>2 x (36+0w) L x 8 kv x 128 hd x 2B x (5120+0img) tok x 16 seq</v>
      </c>
      <c r="R51" s="18" t="s">
        <v>39</v>
      </c>
      <c r="S51" s="19" t="s">
        <v>123</v>
      </c>
      <c r="U51" s="12" t="str">
        <f aca="false">IF(P51&gt;Cards!$D$9,"multi-GPU / shard",IF(P51&lt;=Cards!$D$3,Cards!$A$3,INDEX(Cards!$A$3:$A$9,MATCH(P51,Cards!$D$3:$D$9,1)+1)))</f>
        <v>Intel Arc Pro B60 24GB</v>
      </c>
    </row>
    <row r="52" customFormat="false" ht="22.35" hidden="false" customHeight="false" outlineLevel="0" collapsed="false">
      <c r="A52" s="11" t="s">
        <v>124</v>
      </c>
      <c r="B52" s="12" t="s">
        <v>103</v>
      </c>
      <c r="C52" s="13" t="s">
        <v>38</v>
      </c>
      <c r="D52" s="6" t="n">
        <v>64</v>
      </c>
      <c r="E52" s="6" t="n">
        <v>64</v>
      </c>
      <c r="F52" s="6" t="n">
        <v>0</v>
      </c>
      <c r="G52" s="6" t="n">
        <v>0</v>
      </c>
      <c r="H52" s="6" t="n">
        <v>8</v>
      </c>
      <c r="I52" s="6" t="n">
        <v>128</v>
      </c>
      <c r="J52" s="6" t="n">
        <v>0</v>
      </c>
      <c r="K52" s="8" t="n">
        <v>54</v>
      </c>
      <c r="L52" s="7" t="n">
        <f aca="false">IF(C52="None",0,2*H52*I52*$C$9)</f>
        <v>4096</v>
      </c>
      <c r="M52" s="7" t="n">
        <f aca="false">IF(C52="None",0,IF(C52="Enc-Dec",E52*($C$7+J52),E52*($C$8+J52)+F52*MIN($C$8+J52,G52)))</f>
        <v>327680</v>
      </c>
      <c r="N52" s="14" t="n">
        <f aca="false">L52*M52/1048576</f>
        <v>1280</v>
      </c>
      <c r="O52" s="15" t="n">
        <f aca="false">L52*M52*$C$5*(1+$C$10)/1073741824</f>
        <v>22</v>
      </c>
      <c r="P52" s="16" t="n">
        <f aca="false">K52+O52</f>
        <v>76</v>
      </c>
      <c r="Q52" s="17" t="str">
        <f aca="false">IF(C52="None","no KV cache (single-pass encoder)",IF(C52="Enc-Dec","2 x "&amp;E52&amp;" dec-L x "&amp;H52&amp;" kv x "&amp;I52&amp;" hd x "&amp;$C$9&amp;"B x ("&amp;$C$7&amp;"+"&amp;J52&amp;"img) out-tok x "&amp;$C$5&amp;" seq","2 x ("&amp;E52&amp;"+"&amp;F52&amp;"w) L x "&amp;H52&amp;" kv x "&amp;I52&amp;" hd x "&amp;$C$9&amp;"B x ("&amp;$C$8&amp;"+"&amp;J52&amp;"img) tok x "&amp;$C$5&amp;" seq"))</f>
        <v>2 x (64+0w) L x 8 kv x 128 hd x 2B x (5120+0img) tok x 16 seq</v>
      </c>
      <c r="R52" s="18" t="s">
        <v>39</v>
      </c>
      <c r="S52" s="19" t="s">
        <v>125</v>
      </c>
      <c r="U52" s="12" t="str">
        <f aca="false">IF(P52&gt;Cards!$D$9,"multi-GPU / shard",IF(P52&lt;=Cards!$D$3,Cards!$A$3,INDEX(Cards!$A$3:$A$9,MATCH(P52,Cards!$D$3:$D$9,1)+1)))</f>
        <v>Intel Gaudi 3 128GB</v>
      </c>
    </row>
    <row r="53" customFormat="false" ht="22.35" hidden="false" customHeight="false" outlineLevel="0" collapsed="false">
      <c r="A53" s="11" t="s">
        <v>126</v>
      </c>
      <c r="B53" s="12" t="s">
        <v>103</v>
      </c>
      <c r="C53" s="13" t="s">
        <v>38</v>
      </c>
      <c r="D53" s="6" t="n">
        <v>80</v>
      </c>
      <c r="E53" s="6" t="n">
        <v>80</v>
      </c>
      <c r="F53" s="6" t="n">
        <v>0</v>
      </c>
      <c r="G53" s="6" t="n">
        <v>0</v>
      </c>
      <c r="H53" s="6" t="n">
        <v>8</v>
      </c>
      <c r="I53" s="6" t="n">
        <v>128</v>
      </c>
      <c r="J53" s="6" t="n">
        <v>0</v>
      </c>
      <c r="K53" s="8" t="n">
        <v>105</v>
      </c>
      <c r="L53" s="7" t="n">
        <f aca="false">IF(C53="None",0,2*H53*I53*$C$9)</f>
        <v>4096</v>
      </c>
      <c r="M53" s="7" t="n">
        <f aca="false">IF(C53="None",0,IF(C53="Enc-Dec",E53*($C$7+J53),E53*($C$8+J53)+F53*MIN($C$8+J53,G53)))</f>
        <v>409600</v>
      </c>
      <c r="N53" s="14" t="n">
        <f aca="false">L53*M53/1048576</f>
        <v>1600</v>
      </c>
      <c r="O53" s="15" t="n">
        <f aca="false">L53*M53*$C$5*(1+$C$10)/1073741824</f>
        <v>27.5</v>
      </c>
      <c r="P53" s="16" t="n">
        <f aca="false">K53+O53</f>
        <v>132.5</v>
      </c>
      <c r="Q53" s="17" t="str">
        <f aca="false">IF(C53="None","no KV cache (single-pass encoder)",IF(C53="Enc-Dec","2 x "&amp;E53&amp;" dec-L x "&amp;H53&amp;" kv x "&amp;I53&amp;" hd x "&amp;$C$9&amp;"B x ("&amp;$C$7&amp;"+"&amp;J53&amp;"img) out-tok x "&amp;$C$5&amp;" seq","2 x ("&amp;E53&amp;"+"&amp;F53&amp;"w) L x "&amp;H53&amp;" kv x "&amp;I53&amp;" hd x "&amp;$C$9&amp;"B x ("&amp;$C$8&amp;"+"&amp;J53&amp;"img) tok x "&amp;$C$5&amp;" seq"))</f>
        <v>2 x (80+0w) L x 8 kv x 128 hd x 2B x (5120+0img) tok x 16 seq</v>
      </c>
      <c r="R53" s="18" t="s">
        <v>39</v>
      </c>
      <c r="S53" s="19" t="s">
        <v>127</v>
      </c>
      <c r="U53" s="12" t="str">
        <f aca="false">IF(P53&gt;Cards!$D$9,"multi-GPU / shard",IF(P53&lt;=Cards!$D$3,Cards!$A$3,INDEX(Cards!$A$3:$A$9,MATCH(P53,Cards!$D$3:$D$9,1)+1)))</f>
        <v>NVIDIA B200 180GB</v>
      </c>
    </row>
    <row r="54" customFormat="false" ht="22.35" hidden="false" customHeight="false" outlineLevel="0" collapsed="false">
      <c r="A54" s="11" t="s">
        <v>128</v>
      </c>
      <c r="B54" s="12" t="s">
        <v>103</v>
      </c>
      <c r="C54" s="13" t="s">
        <v>38</v>
      </c>
      <c r="D54" s="6" t="n">
        <v>48</v>
      </c>
      <c r="E54" s="6" t="n">
        <v>48</v>
      </c>
      <c r="F54" s="6" t="n">
        <v>0</v>
      </c>
      <c r="G54" s="6" t="n">
        <v>0</v>
      </c>
      <c r="H54" s="6" t="n">
        <v>4</v>
      </c>
      <c r="I54" s="6" t="n">
        <v>128</v>
      </c>
      <c r="J54" s="6" t="n">
        <v>0</v>
      </c>
      <c r="K54" s="8" t="n">
        <v>60</v>
      </c>
      <c r="L54" s="7" t="n">
        <f aca="false">IF(C54="None",0,2*H54*I54*$C$9)</f>
        <v>2048</v>
      </c>
      <c r="M54" s="7" t="n">
        <f aca="false">IF(C54="None",0,IF(C54="Enc-Dec",E54*($C$7+J54),E54*($C$8+J54)+F54*MIN($C$8+J54,G54)))</f>
        <v>245760</v>
      </c>
      <c r="N54" s="14" t="n">
        <f aca="false">L54*M54/1048576</f>
        <v>480</v>
      </c>
      <c r="O54" s="15" t="n">
        <f aca="false">L54*M54*$C$5*(1+$C$10)/1073741824</f>
        <v>8.25</v>
      </c>
      <c r="P54" s="16" t="n">
        <f aca="false">K54+O54</f>
        <v>68.25</v>
      </c>
      <c r="Q54" s="17" t="str">
        <f aca="false">IF(C54="None","no KV cache (single-pass encoder)",IF(C54="Enc-Dec","2 x "&amp;E54&amp;" dec-L x "&amp;H54&amp;" kv x "&amp;I54&amp;" hd x "&amp;$C$9&amp;"B x ("&amp;$C$7&amp;"+"&amp;J54&amp;"img) out-tok x "&amp;$C$5&amp;" seq","2 x ("&amp;E54&amp;"+"&amp;F54&amp;"w) L x "&amp;H54&amp;" kv x "&amp;I54&amp;" hd x "&amp;$C$9&amp;"B x ("&amp;$C$8&amp;"+"&amp;J54&amp;"img) tok x "&amp;$C$5&amp;" seq"))</f>
        <v>2 x (48+0w) L x 4 kv x 128 hd x 2B x (5120+0img) tok x 16 seq</v>
      </c>
      <c r="R54" s="18" t="s">
        <v>39</v>
      </c>
      <c r="S54" s="19" t="s">
        <v>129</v>
      </c>
      <c r="U54" s="12" t="str">
        <f aca="false">IF(P54&gt;Cards!$D$9,"multi-GPU / shard",IF(P54&lt;=Cards!$D$3,Cards!$A$3,INDEX(Cards!$A$3:$A$9,MATCH(P54,Cards!$D$3:$D$9,1)+1)))</f>
        <v>NVIDIA H100 SXM 80GB</v>
      </c>
    </row>
  </sheetData>
  <dataValidations count="1">
    <dataValidation allowBlank="false" errorStyle="stop" operator="between" showDropDown="false" showErrorMessage="false" showInputMessage="false" sqref="C14:C54" type="list">
      <formula1>"Decoder,Hybrid,Enc-Dec,None"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40"/>
  </cols>
  <sheetData>
    <row r="1" customFormat="false" ht="18.5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3" t="s">
        <v>131</v>
      </c>
      <c r="B2" s="23" t="s">
        <v>132</v>
      </c>
      <c r="C2" s="23" t="s">
        <v>133</v>
      </c>
      <c r="D2" s="23" t="s">
        <v>134</v>
      </c>
      <c r="E2" s="23" t="s">
        <v>34</v>
      </c>
    </row>
    <row r="3" customFormat="false" ht="15" hidden="false" customHeight="false" outlineLevel="0" collapsed="false">
      <c r="A3" s="13" t="s">
        <v>135</v>
      </c>
      <c r="B3" s="6" t="n">
        <v>24</v>
      </c>
      <c r="C3" s="24" t="n">
        <v>0.9</v>
      </c>
      <c r="D3" s="14" t="n">
        <f aca="false">B3*C3</f>
        <v>21.6</v>
      </c>
      <c r="E3" s="25" t="s">
        <v>136</v>
      </c>
    </row>
    <row r="4" customFormat="false" ht="15" hidden="false" customHeight="false" outlineLevel="0" collapsed="false">
      <c r="A4" s="13" t="s">
        <v>137</v>
      </c>
      <c r="B4" s="6" t="n">
        <v>48</v>
      </c>
      <c r="C4" s="24" t="n">
        <v>0.9</v>
      </c>
      <c r="D4" s="14" t="n">
        <f aca="false">B4*C4</f>
        <v>43.2</v>
      </c>
      <c r="E4" s="25" t="s">
        <v>138</v>
      </c>
    </row>
    <row r="5" customFormat="false" ht="15" hidden="false" customHeight="false" outlineLevel="0" collapsed="false">
      <c r="A5" s="13" t="s">
        <v>139</v>
      </c>
      <c r="B5" s="6" t="n">
        <v>80</v>
      </c>
      <c r="C5" s="24" t="n">
        <v>0.9</v>
      </c>
      <c r="D5" s="14" t="n">
        <f aca="false">B5*C5</f>
        <v>72</v>
      </c>
      <c r="E5" s="25" t="s">
        <v>140</v>
      </c>
    </row>
    <row r="6" customFormat="false" ht="15" hidden="false" customHeight="false" outlineLevel="0" collapsed="false">
      <c r="A6" s="13" t="s">
        <v>141</v>
      </c>
      <c r="B6" s="6" t="n">
        <v>128</v>
      </c>
      <c r="C6" s="24" t="n">
        <v>0.9</v>
      </c>
      <c r="D6" s="14" t="n">
        <f aca="false">B6*C6</f>
        <v>115.2</v>
      </c>
      <c r="E6" s="25" t="s">
        <v>142</v>
      </c>
    </row>
    <row r="7" customFormat="false" ht="15" hidden="false" customHeight="false" outlineLevel="0" collapsed="false">
      <c r="A7" s="13" t="s">
        <v>143</v>
      </c>
      <c r="B7" s="6" t="n">
        <v>141</v>
      </c>
      <c r="C7" s="24" t="n">
        <v>0.9</v>
      </c>
      <c r="D7" s="14" t="n">
        <f aca="false">B7*C7</f>
        <v>126.9</v>
      </c>
      <c r="E7" s="25" t="s">
        <v>144</v>
      </c>
    </row>
    <row r="8" customFormat="false" ht="15" hidden="false" customHeight="false" outlineLevel="0" collapsed="false">
      <c r="A8" s="13" t="s">
        <v>145</v>
      </c>
      <c r="B8" s="6" t="n">
        <v>180</v>
      </c>
      <c r="C8" s="24" t="n">
        <v>0.9</v>
      </c>
      <c r="D8" s="14" t="n">
        <f aca="false">B8*C8</f>
        <v>162</v>
      </c>
      <c r="E8" s="25" t="s">
        <v>146</v>
      </c>
    </row>
    <row r="9" customFormat="false" ht="15" hidden="false" customHeight="false" outlineLevel="0" collapsed="false">
      <c r="A9" s="13" t="s">
        <v>147</v>
      </c>
      <c r="B9" s="6" t="n">
        <v>192</v>
      </c>
      <c r="C9" s="24" t="n">
        <v>0.9</v>
      </c>
      <c r="D9" s="14" t="n">
        <f aca="false">B9*C9</f>
        <v>172.8</v>
      </c>
      <c r="E9" s="25" t="s">
        <v>148</v>
      </c>
    </row>
    <row r="11" customFormat="false" ht="15" hidden="false" customHeight="false" outlineLevel="0" collapsed="false">
      <c r="A11" s="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8.55" hidden="false" customHeight="false" outlineLevel="0" collapsed="false">
      <c r="A1" s="1" t="s">
        <v>150</v>
      </c>
    </row>
    <row r="3" customFormat="false" ht="15" hidden="false" customHeight="false" outlineLevel="0" collapsed="false">
      <c r="A3" s="5" t="s">
        <v>151</v>
      </c>
    </row>
    <row r="4" customFormat="false" ht="15" hidden="false" customHeight="false" outlineLevel="0" collapsed="false">
      <c r="A4" s="2" t="s">
        <v>152</v>
      </c>
    </row>
    <row r="5" customFormat="false" ht="15" hidden="false" customHeight="false" outlineLevel="0" collapsed="false">
      <c r="A5" s="2" t="s">
        <v>153</v>
      </c>
    </row>
    <row r="6" customFormat="false" ht="15" hidden="false" customHeight="false" outlineLevel="0" collapsed="false">
      <c r="A6" s="2" t="s">
        <v>154</v>
      </c>
    </row>
    <row r="7" customFormat="false" ht="15" hidden="false" customHeight="false" outlineLevel="0" collapsed="false">
      <c r="A7" s="2" t="s">
        <v>155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5" t="s">
        <v>156</v>
      </c>
    </row>
    <row r="10" customFormat="false" ht="15" hidden="false" customHeight="false" outlineLevel="0" collapsed="false">
      <c r="A10" s="2" t="s">
        <v>157</v>
      </c>
    </row>
    <row r="11" customFormat="false" ht="15" hidden="false" customHeight="false" outlineLevel="0" collapsed="false">
      <c r="A11" s="2" t="s">
        <v>158</v>
      </c>
    </row>
    <row r="12" customFormat="false" ht="15" hidden="false" customHeight="false" outlineLevel="0" collapsed="false">
      <c r="A12" s="2" t="s">
        <v>159</v>
      </c>
    </row>
    <row r="13" customFormat="false" ht="15" hidden="false" customHeight="false" outlineLevel="0" collapsed="false">
      <c r="A13" s="2" t="s">
        <v>160</v>
      </c>
    </row>
    <row r="14" customFormat="false" ht="15" hidden="false" customHeight="false" outlineLevel="0" collapsed="false">
      <c r="A14" s="2" t="s">
        <v>161</v>
      </c>
    </row>
    <row r="15" customFormat="false" ht="15" hidden="false" customHeight="false" outlineLevel="0" collapsed="false">
      <c r="A15" s="2" t="s">
        <v>162</v>
      </c>
    </row>
    <row r="16" customFormat="false" ht="15" hidden="false" customHeight="false" outlineLevel="0" collapsed="false">
      <c r="A16" s="2" t="s">
        <v>163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5" t="s">
        <v>164</v>
      </c>
    </row>
    <row r="19" customFormat="false" ht="15" hidden="false" customHeight="false" outlineLevel="0" collapsed="false">
      <c r="A19" s="2" t="s">
        <v>165</v>
      </c>
    </row>
    <row r="20" customFormat="false" ht="15" hidden="false" customHeight="false" outlineLevel="0" collapsed="false">
      <c r="A20" s="2" t="s">
        <v>166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5" t="s">
        <v>167</v>
      </c>
    </row>
    <row r="23" customFormat="false" ht="15" hidden="false" customHeight="false" outlineLevel="0" collapsed="false">
      <c r="A23" s="2" t="s">
        <v>168</v>
      </c>
    </row>
    <row r="24" customFormat="false" ht="15" hidden="false" customHeight="false" outlineLevel="0" collapsed="false">
      <c r="A24" s="2" t="s">
        <v>169</v>
      </c>
    </row>
    <row r="25" customFormat="false" ht="15" hidden="false" customHeight="false" outlineLevel="0" collapsed="false">
      <c r="A25" s="2" t="s">
        <v>170</v>
      </c>
    </row>
    <row r="26" customFormat="false" ht="15" hidden="false" customHeight="false" outlineLevel="0" collapsed="false">
      <c r="A26" s="2" t="s">
        <v>171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5" t="s">
        <v>172</v>
      </c>
    </row>
    <row r="29" customFormat="false" ht="15" hidden="false" customHeight="false" outlineLevel="0" collapsed="false">
      <c r="A29" s="2" t="s">
        <v>173</v>
      </c>
    </row>
    <row r="30" customFormat="false" ht="15" hidden="false" customHeight="false" outlineLevel="0" collapsed="false">
      <c r="A30" s="2" t="s">
        <v>174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5" t="s">
        <v>175</v>
      </c>
    </row>
    <row r="33" customFormat="false" ht="15" hidden="false" customHeight="false" outlineLevel="0" collapsed="false">
      <c r="A33" s="2" t="s">
        <v>176</v>
      </c>
    </row>
    <row r="34" customFormat="false" ht="15" hidden="false" customHeight="false" outlineLevel="0" collapsed="false">
      <c r="A34" s="2" t="s">
        <v>177</v>
      </c>
    </row>
    <row r="35" customFormat="false" ht="15" hidden="false" customHeight="false" outlineLevel="0" collapsed="false">
      <c r="A35" s="2" t="s">
        <v>178</v>
      </c>
    </row>
    <row r="36" customFormat="false" ht="15" hidden="false" customHeight="false" outlineLevel="0" collapsed="false">
      <c r="A36" s="2" t="s">
        <v>179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 t="s">
        <v>180</v>
      </c>
    </row>
    <row r="39" customFormat="false" ht="15" hidden="false" customHeight="false" outlineLevel="0" collapsed="false">
      <c r="A39" s="2" t="s">
        <v>181</v>
      </c>
    </row>
    <row r="40" customFormat="false" ht="15" hidden="false" customHeight="false" outlineLevel="0" collapsed="false">
      <c r="A40" s="2" t="s">
        <v>182</v>
      </c>
    </row>
    <row r="41" customFormat="false" ht="15" hidden="false" customHeight="false" outlineLevel="0" collapsed="false">
      <c r="A41" s="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2026-08-11T02:53:20Z</dcterms:created>
  <dc:creator>openpyxl</dc:creator>
  <dc:description/>
  <dc:language>en-US</dc:language>
  <cp:lastModifiedBy/>
  <dcterms:modified xsi:type="dcterms:W3CDTF">2026-08-11T02:53:21Z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