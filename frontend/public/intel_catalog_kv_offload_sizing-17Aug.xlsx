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andkul\Downloads\"/>
    </mc:Choice>
  </mc:AlternateContent>
  <xr:revisionPtr revIDLastSave="0" documentId="13_ncr:1_{DB7BC167-2116-4882-8847-D5015576401D}" xr6:coauthVersionLast="47" xr6:coauthVersionMax="47" xr10:uidLastSave="{00000000-0000-0000-0000-000000000000}"/>
  <bookViews>
    <workbookView xWindow="28680" yWindow="-120" windowWidth="38640" windowHeight="15720" tabRatio="500" xr2:uid="{00000000-000D-0000-FFFF-FFFF00000000}"/>
  </bookViews>
  <sheets>
    <sheet name="Cards" sheetId="2" r:id="rId1"/>
    <sheet name="Method &amp; Legend" sheetId="3" r:id="rId2"/>
    <sheet name="Offload Refs" sheetId="4" r:id="rId3"/>
    <sheet name="Offload vs Recompute" sheetId="5"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3" i="5" l="1"/>
  <c r="A32" i="5"/>
  <c r="A31" i="5"/>
  <c r="A30" i="5"/>
  <c r="H16" i="5"/>
  <c r="H17" i="5" s="1"/>
  <c r="H12" i="5"/>
  <c r="H11" i="5"/>
  <c r="H14" i="5" s="1"/>
  <c r="H10" i="5"/>
  <c r="H13" i="5" s="1"/>
  <c r="H9" i="5"/>
  <c r="H8" i="5"/>
  <c r="H7" i="5"/>
  <c r="H6" i="5"/>
  <c r="H5" i="5"/>
  <c r="D9" i="2"/>
  <c r="D8" i="2"/>
  <c r="D7" i="2"/>
  <c r="D6" i="2"/>
  <c r="D5" i="2"/>
  <c r="D4" i="2"/>
  <c r="D3" i="2"/>
  <c r="C39" i="5" l="1"/>
  <c r="J25" i="5"/>
  <c r="I22" i="5"/>
  <c r="H40" i="5"/>
  <c r="B39" i="5"/>
  <c r="I25" i="5"/>
  <c r="F33" i="5" s="1"/>
  <c r="H22" i="5"/>
  <c r="E30" i="5" s="1"/>
  <c r="G40" i="5"/>
  <c r="H25" i="5"/>
  <c r="E33" i="5" s="1"/>
  <c r="G22" i="5"/>
  <c r="D30" i="5" s="1"/>
  <c r="F40" i="5"/>
  <c r="H38" i="5"/>
  <c r="G25" i="5"/>
  <c r="D33" i="5" s="1"/>
  <c r="B24" i="5"/>
  <c r="F22" i="5"/>
  <c r="E40" i="5"/>
  <c r="G38" i="5"/>
  <c r="F25" i="5"/>
  <c r="J23" i="5"/>
  <c r="F38" i="5"/>
  <c r="I23" i="5"/>
  <c r="F31" i="5" s="1"/>
  <c r="E38" i="5"/>
  <c r="H23" i="5"/>
  <c r="E31" i="5" s="1"/>
  <c r="G23" i="5"/>
  <c r="D31" i="5" s="1"/>
  <c r="B22" i="5"/>
  <c r="I24" i="5"/>
  <c r="F32" i="5" s="1"/>
  <c r="F39" i="5"/>
  <c r="H24" i="5"/>
  <c r="E32" i="5" s="1"/>
  <c r="B40" i="5"/>
  <c r="J22" i="5"/>
  <c r="B25" i="5"/>
  <c r="F23" i="5"/>
  <c r="F24" i="5"/>
  <c r="H39" i="5"/>
  <c r="B38" i="5"/>
  <c r="J24" i="5"/>
  <c r="G39" i="5"/>
  <c r="E39" i="5"/>
  <c r="G24" i="5"/>
  <c r="D32" i="5" s="1"/>
  <c r="B23" i="5"/>
  <c r="D39" i="5"/>
  <c r="I39" i="5" s="1"/>
  <c r="B30" i="5"/>
  <c r="E23" i="5"/>
  <c r="C38" i="5"/>
  <c r="D23" i="5"/>
  <c r="C23" i="5"/>
  <c r="B32" i="5"/>
  <c r="C25" i="5"/>
  <c r="D38" i="5"/>
  <c r="C22" i="5"/>
  <c r="D25" i="5"/>
  <c r="C40" i="5"/>
  <c r="D22" i="5"/>
  <c r="E25" i="5"/>
  <c r="D40" i="5"/>
  <c r="E22" i="5"/>
  <c r="B31" i="5"/>
  <c r="C24" i="5"/>
  <c r="B33" i="5"/>
  <c r="D24" i="5"/>
  <c r="E24" i="5"/>
  <c r="I38" i="5" l="1"/>
  <c r="C32" i="5"/>
  <c r="G32" i="5" s="1"/>
  <c r="H32" i="5" s="1"/>
  <c r="C31" i="5"/>
  <c r="G31" i="5" s="1"/>
  <c r="H31" i="5" s="1"/>
  <c r="C33" i="5"/>
  <c r="G33" i="5" s="1"/>
  <c r="H33" i="5" s="1"/>
  <c r="F30" i="5"/>
  <c r="I40" i="5"/>
  <c r="C30" i="5"/>
  <c r="G30" i="5" s="1"/>
  <c r="H30" i="5" s="1"/>
</calcChain>
</file>

<file path=xl/sharedStrings.xml><?xml version="1.0" encoding="utf-8"?>
<sst xmlns="http://schemas.openxmlformats.org/spreadsheetml/2006/main" count="208" uniqueCount="178">
  <si>
    <t>KV bytes / element</t>
  </si>
  <si>
    <t>FP16/BF16=2, FP8=1, INT4=0.5</t>
  </si>
  <si>
    <t>Model</t>
  </si>
  <si>
    <t>Window layers</t>
  </si>
  <si>
    <t>Window size</t>
  </si>
  <si>
    <t>KV heads</t>
  </si>
  <si>
    <t>Head dim</t>
  </si>
  <si>
    <t>KV bytes/tok/layer</t>
  </si>
  <si>
    <t>Prov</t>
  </si>
  <si>
    <t>Notes</t>
  </si>
  <si>
    <t>Gemma 4 26B-A4B-IT</t>
  </si>
  <si>
    <t>G</t>
  </si>
  <si>
    <t>Gemma-3-4B-it</t>
  </si>
  <si>
    <t>Gemma-4-E4B-it</t>
  </si>
  <si>
    <t>Y</t>
  </si>
  <si>
    <t>GPT-OSS-120B</t>
  </si>
  <si>
    <t>LFM2.5-1.2B-Instruct</t>
  </si>
  <si>
    <t>Llama 3.3 70B Instruct</t>
  </si>
  <si>
    <t>Llama-3.2-1B-it</t>
  </si>
  <si>
    <t>Llama-3.2-8B-it</t>
  </si>
  <si>
    <t>Qwen3-30B-A3B</t>
  </si>
  <si>
    <t>Qwen3.5-4B</t>
  </si>
  <si>
    <t>Qwen3.6-27B</t>
  </si>
  <si>
    <t>Sarvam-105B</t>
  </si>
  <si>
    <t>Sarvam-30B</t>
  </si>
  <si>
    <t>Accelerator reference (usable = capacity x 90%)</t>
  </si>
  <si>
    <t>Accelerator</t>
  </si>
  <si>
    <t>HBM/VRAM (GiB)</t>
  </si>
  <si>
    <t>Util cap</t>
  </si>
  <si>
    <t>Usable (GiB)</t>
  </si>
  <si>
    <t>Intel Arc Pro B60 24GB</t>
  </si>
  <si>
    <t>Edge/workstation; TP for larger models</t>
  </si>
  <si>
    <t>NVIDIA L40S 48GB</t>
  </si>
  <si>
    <t>PCIe datacenter</t>
  </si>
  <si>
    <t>NVIDIA H100 SXM 80GB</t>
  </si>
  <si>
    <t>Datacenter standard</t>
  </si>
  <si>
    <t>Intel Gaudi 3 128GB</t>
  </si>
  <si>
    <t>vLLM-fork; large single-card KV budget</t>
  </si>
  <si>
    <t>NVIDIA H200 141GB</t>
  </si>
  <si>
    <t>Large single-card home</t>
  </si>
  <si>
    <t>NVIDIA B200 180GB</t>
  </si>
  <si>
    <t>Blackwell</t>
  </si>
  <si>
    <t>AMD MI300X 192GB</t>
  </si>
  <si>
    <t>Largest single-card capacity</t>
  </si>
  <si>
    <t>Sorted ascending by capacity so the smallest-fit lookup on the sizing sheet works. Add cards in ascending order and extend ranges $A$3:$A$9 / $D$3:$D$9 if you add rows.</t>
  </si>
  <si>
    <t>Method, formula &amp; legend</t>
  </si>
  <si>
    <t>The vLLM load-time KV formula</t>
  </si>
  <si>
    <t>At init, vLLM computes bytes per token per layer = 2 x num_kv_heads x head_dim x dtype_bytes. The 2 is K and V.</t>
  </si>
  <si>
    <t>It then multiplies by cached token-layers and by concurrent sequences, and allocates that as paged blocks</t>
  </si>
  <si>
    <t>(default block_size = 16 tokens). Total KV = 2 x n_kv_heads x head_dim x bytes x layers x seq_len x num_seqs.</t>
  </si>
  <si>
    <t>This workbook mirrors that: bytes/tok/layer (col L) x cached token-layers/seq (col M) x concurrency x (1+overhead).</t>
  </si>
  <si>
    <t>KV cache TYPE - why most catalog models show zero</t>
  </si>
  <si>
    <t>Decoder  : autoregressive decoder-only transformer. Full KV cache over the whole context. Formula applies directly.</t>
  </si>
  <si>
    <t>Hybrid   : decoder with sliding-window (banded) + global layers (GPT-OSS, Gemma 3/4) OR conv+attention (LFM2). Dense</t>
  </si>
  <si>
    <t xml:space="preserve">           layers cache the full sequence; window layers cache only min(seq, window). This is the big KV saver at long context.</t>
  </si>
  <si>
    <t>Enc-Dec  : encoder-decoder (Whisper, IndicTrans2, GLM-OCR). The encoder is single-pass (no KV cache); the decoder caches</t>
  </si>
  <si>
    <t xml:space="preserve">           only its own generated tokens (output length), plus fixed cross-attention to encoder states. KV is small.</t>
  </si>
  <si>
    <t>None     : encoder-only or non-transformer - embeddings (BGE), rerankers/cross-encoders, NER, CTC-ASR (Conformer),</t>
  </si>
  <si>
    <t xml:space="preserve">           VAD, diarization. One forward pass, no autoregressive decode =&gt; NO KV cache at all. VRAM = weights + activations.</t>
  </si>
  <si>
    <t>Sliding-window caveat</t>
  </si>
  <si>
    <t>Window-layer saving is only realised if the serving engine implements window-aware KV allocation (recent vLLM, TRT-LLM).</t>
  </si>
  <si>
    <t>If it does not, set Window layers = 0 and move that count into Dense layers to get the worst-case (full-cache) number.</t>
  </si>
  <si>
    <t>Weights &amp; MoE caveat</t>
  </si>
  <si>
    <t>Weight VRAM is the headline figure from the catalog at the stated dtype (BF16 unless a native quant is noted; MXFP4 for</t>
  </si>
  <si>
    <t>GPT-OSS, FP8 for Sarvam-105B). For MoE models ALL experts must be resident in VRAM even though only a few activate per</t>
  </si>
  <si>
    <t>token - so weight memory tracks TOTAL params, not active. KV cache is unaffected by MoE (attention is dense).</t>
  </si>
  <si>
    <t>Not modelled: CUDA/HPU graphs, NCCL buffers, activation peak, speculative-decode drafts, prefix-cache reuse. Add ~1-4 GiB.</t>
  </si>
  <si>
    <t>Concurrency lever</t>
  </si>
  <si>
    <t>KV TOTAL scales linearly with concurrency (col C5). Double the users -&gt; double the KV GiB; weights are unchanged. So the</t>
  </si>
  <si>
    <t>'smallest card that fits' can jump as you raise concurrency, while weight-dominated small models barely move.</t>
  </si>
  <si>
    <t>Provenance legend</t>
  </si>
  <si>
    <t>G (green)  = architecture verified from model card / HF config, or well-established.</t>
  </si>
  <si>
    <t>Y (yellow) = estimate or inferred from a base model / speculative 2026 release. VERIFY before external use. Yellow-filled</t>
  </si>
  <si>
    <t xml:space="preserve">             architecture cells are the ones to confirm against the real config.json.</t>
  </si>
  <si>
    <t>N (grey)   = no KV cache; sizing is weight-driven.</t>
  </si>
  <si>
    <t>Specific flags: Llama-3.2-8B is not a real Meta model (treated as Llama 3.1 8B). Gemma-4 / Qwen3.5 / Qwen3.6 / Sarvam</t>
  </si>
  <si>
    <t>105B &amp; 30B / Cohere Transcribe / openai privacy-filter / dots.mocr are 2026-dated or base-inferred - architecture placeholders.</t>
  </si>
  <si>
    <t>Gemma 4 global layers use head_dim 512 (not 256); this model's KV is approximated with the sliding head_dim - verify if it matters.</t>
  </si>
  <si>
    <t>Orpheus TTS sequence is audio-codec tokens, not text; the 4K/1K text assumption is a rough proxy.</t>
  </si>
  <si>
    <t>Offload analysis - reference data</t>
  </si>
  <si>
    <t>Yellow cells are editable. Provenance: G=verified/well-established, Y=estimate or unpublished (verify before external).</t>
  </si>
  <si>
    <t>MODEL PARAMETERS (for prefill FLOPs + KV size)</t>
  </si>
  <si>
    <t>Active params (B)</t>
  </si>
  <si>
    <t>Layers</t>
  </si>
  <si>
    <t>Dense/self-attn L</t>
  </si>
  <si>
    <t>Window L</t>
  </si>
  <si>
    <t>Window</t>
  </si>
  <si>
    <t>Q heads</t>
  </si>
  <si>
    <t>Note</t>
  </si>
  <si>
    <t>MoE 3.8B active. Global layers hd512 (approx as 256). Verify</t>
  </si>
  <si>
    <t>Dense. 5:1 local:global, window 1024</t>
  </si>
  <si>
    <t>Elastic 4B; arch assumed Gemma-3-4B-like</t>
  </si>
  <si>
    <t>MoE 5.1B active. 18 dense/18 banded(128). Model card 2508.10925</t>
  </si>
  <si>
    <t>Liquid hybrid: only ~6 attention layers; conv blocks add compute NOT captured by 2PT. Rough</t>
  </si>
  <si>
    <t>Dense 70B</t>
  </si>
  <si>
    <t>Dense 1.24B</t>
  </si>
  <si>
    <t>No real Meta 3.2-8B; treated as Llama 3.1 8B</t>
  </si>
  <si>
    <t>MoE 3.3B active (HF verified)</t>
  </si>
  <si>
    <t>2026-dated; Qwen3-4B arch assumed</t>
  </si>
  <si>
    <t>2026-dated dense; Q-heads/layers estimated</t>
  </si>
  <si>
    <t>MoE; ACTIVE PARAMS UNKNOWN - placeholder 10B. Do not assert</t>
  </si>
  <si>
    <t>MoE ~2.4B active; arch placeholder</t>
  </si>
  <si>
    <t>STORAGE / MEMORY MEDIA - bandwidth (GB/s, decimal)</t>
  </si>
  <si>
    <t>Medium</t>
  </si>
  <si>
    <t>Read BW (GB/s)</t>
  </si>
  <si>
    <t>Basis / note</t>
  </si>
  <si>
    <t>DRAM (host DDR5-6400, 12ch/socket)</t>
  </si>
  <si>
    <t>~614 GB/s per socket; MRDIMM-8800 ~845. Per-socket aggregate</t>
  </si>
  <si>
    <t>CXL Flat Memory Mode (Gen5 x16 expander)</t>
  </si>
  <si>
    <t>~50 GB/s per module (Gen5 x16 ~64 theoretical). Flat mode HW-interleaves DRAM+CXL; scales with modules</t>
  </si>
  <si>
    <t>NVMe (PCIe Gen5 x4 SSD, seq read)</t>
  </si>
  <si>
    <t>~14 GB/s/drive Gen5 (Gen4 ~7). RAID/multiple drives scale linearly</t>
  </si>
  <si>
    <t>All-Flash array (NVMe-oF over fabric)</t>
  </si>
  <si>
    <t>NIC-bound: dual 200GbE ~40-50 GB/s; 800GbE ~100. Aggregate array BW higher, per-client capped</t>
  </si>
  <si>
    <t>Write -&gt; GPU memory (PCIe Gen5 x16)</t>
  </si>
  <si>
    <t>~55 GB/s effective (Gen5 x16 ~64 theo). B70 &amp; CRI are PCIe cards. Same write cost for every medium</t>
  </si>
  <si>
    <t>ACCELERATOR - peak BF16 matrix TFLOPS</t>
  </si>
  <si>
    <t>Peak BF16 TFLOPS</t>
  </si>
  <si>
    <t>Intel Arc Pro B70</t>
  </si>
  <si>
    <t>XMX BF16 = INT8 peak (367 TOPS) / 2. NB: vector FP16 (~45.9) is a different, lower path - not used for matmul-bound prefill</t>
  </si>
  <si>
    <t>Intel Crescent Island (CRI)</t>
  </si>
  <si>
    <t>Intel has NOT published throughput (Computex 2026). Placeholder - EDIT on disclosure. 350W Xe3P, 160-480GB LPDDR5X</t>
  </si>
  <si>
    <t>KV-Cache Offload vs Recompute - Prefill economics</t>
  </si>
  <si>
    <t>For a cached prefix, is it faster to LOAD the KV from off-GPU media (read + write-to-GPU) or RECOMPUTE it via prefill? Pick a model and accelerator; edit yellow levers. Single sequence (concurrency=1) - concurrency scales both sides equally.</t>
  </si>
  <si>
    <t>SELECTORS &amp; LEVERS</t>
  </si>
  <si>
    <t>MODEL (auto)</t>
  </si>
  <si>
    <t>Accelerator (drives verdict)</t>
  </si>
  <si>
    <t>Dense layers</t>
  </si>
  <si>
    <t>Achieved efficiency (MFU)</t>
  </si>
  <si>
    <t>fraction of peak actually sustained</t>
  </si>
  <si>
    <t>Causal factor (attention)</t>
  </si>
  <si>
    <t>0.5 = causal mask halves QK^T/AV work</t>
  </si>
  <si>
    <t>Q width d_q = Qheads x hd</t>
  </si>
  <si>
    <t>Sel. accel peak BF16 TFLOPS</t>
  </si>
  <si>
    <t>Sel. accel achieved TFLOPS</t>
  </si>
  <si>
    <t>A.  ABSOLUTE - per prefill context length</t>
  </si>
  <si>
    <t>Context (tokens)</t>
  </si>
  <si>
    <t>KV size (GiB)</t>
  </si>
  <si>
    <t>Prefill (TFLOP)</t>
  </si>
  <si>
    <t>Recompute B70 (ms)</t>
  </si>
  <si>
    <t>Recompute CRI (ms)</t>
  </si>
  <si>
    <t>Read DRAM (ms)</t>
  </si>
  <si>
    <t>Read CXL (ms)</t>
  </si>
  <si>
    <t>Read NVMe (ms)</t>
  </si>
  <si>
    <t>Read Flash (ms)</t>
  </si>
  <si>
    <t>Write-&gt;GPU (ms)</t>
  </si>
  <si>
    <t>Total load per medium = its Read column + Write-&gt;GPU (serial). Pipelined read/write overlaps -&gt; take max() of the two instead.</t>
  </si>
  <si>
    <t>B.  VERDICT - total load (read+write) vs recompute on SELECTED accelerator</t>
  </si>
  <si>
    <t>Context</t>
  </si>
  <si>
    <t>Recompute (ms)</t>
  </si>
  <si>
    <t>DRAM load (ms)</t>
  </si>
  <si>
    <t>CXL load (ms)</t>
  </si>
  <si>
    <t>NVMe load (ms)</t>
  </si>
  <si>
    <t>Flash load (ms)</t>
  </si>
  <si>
    <t>Fastest offload (ms)</t>
  </si>
  <si>
    <t>Offload vs recompute</t>
  </si>
  <si>
    <t>C.  INCREMENTAL vs 4K baseline (extra KV to load  vs  extra prefill to recompute)</t>
  </si>
  <si>
    <t>Delta</t>
  </si>
  <si>
    <t>Extra KV (GiB)</t>
  </si>
  <si>
    <t>Extra prefill (TFLOP)</t>
  </si>
  <si>
    <t>Extra recompute (ms, sel accel)</t>
  </si>
  <si>
    <t>+DRAM load (ms)</t>
  </si>
  <si>
    <t>+CXL load (ms)</t>
  </si>
  <si>
    <t>+NVMe load (ms)</t>
  </si>
  <si>
    <t>+Flash load (ms)</t>
  </si>
  <si>
    <t>Incremental verdict</t>
  </si>
  <si>
    <t>4K -&gt; 8K</t>
  </si>
  <si>
    <t>4K -&gt; 16K</t>
  </si>
  <si>
    <t>4K -&gt; 32K</t>
  </si>
  <si>
    <t>FORMULAS &amp; METHOD</t>
  </si>
  <si>
    <t>Prefill FLOPs = 2 x P_active x T   (projections + MLP/experts, linear in tokens)   +   4 x causal x d_q x [dense_L x T^2 + window_L x T x min(T,window)]   (attention scores, quadratic).</t>
  </si>
  <si>
    <t xml:space="preserve">   P_active = ACTIVE params (MoE runs only active experts at prefill). d_q = Q_heads x head_dim. Windowed layers attend &lt;= window keys, so their attention is ~linear, not T^2.</t>
  </si>
  <si>
    <t>Recompute time = Prefill FLOPs / (peak BF16 TFLOPS x achieved MFU).  This is the compute-bound floor; real prefill also has memory-BW and kernel-launch overheads -&gt; treat as optimistic.</t>
  </si>
  <si>
    <t>KV size (single seq) = 2 x KV_heads x head_dim x bytes x [dense_L x T + window_L x min(T,window)].  Windowed layers store only the window - the same saver as the sizing workbook.</t>
  </si>
  <si>
    <t>Load time = KV_bytes / media_BW (READ)  +  KV_bytes / PCIe_BW (WRITE to GPU).  Serial sum shown; a pipelined DMA overlaps them, so the floor is max(read, write). For DRAM-resident KV the PCIe write dominates.</t>
  </si>
  <si>
    <t>Verdict uses the SELECTED accelerator's achieved TFLOPS. Concurrency cancels (it scales KV load and recompute equally), so the crossover is per-sequence and concurrency-independent.</t>
  </si>
  <si>
    <t>Why offload usually wins here: prefill is expensive (params x tokens + T^2) while these models have small KV (GQA, few KV heads, sliding windows). Recompute only competes when the medium is slow AND KV is large AND the model is cheap to prefill.</t>
  </si>
  <si>
    <t>Provenance: B70 BF16 = INT8 367 TOPS / 2 (XMX). Crescent Island TFLOPS is a PLACEHOLDER - Intel has not disclosed throughput (edit Offload Refs!B when they do). Sarvam active-param counts are placeholders.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</si>
</sst>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6" formatCode="0.0"/>
    <numFmt numFmtId="167" formatCode="#,##0.000"/>
  </numFmts>
  <fonts count="10" x14ac:knownFonts="1">
    <font>
      <sz val="11"/>
      <color theme="1"/>
      <name val="Calibri"/>
      <family val="2"/>
      <charset val="1"/>
    </font>
    <font>
      <b/>
      <sz val="15"/>
      <color rgb="FF000000"/>
      <name val="Arial"/>
      <charset val="1"/>
    </font>
    <font>
      <i/>
      <sz val="9"/>
      <color rgb="FF666666"/>
      <name val="Arial"/>
      <charset val="1"/>
    </font>
    <font>
      <b/>
      <sz val="11"/>
      <color rgb="FFFFFFFF"/>
      <name val="Arial"/>
      <charset val="1"/>
    </font>
    <font>
      <b/>
      <sz val="10"/>
      <color rgb="FF000000"/>
      <name val="Arial"/>
      <charset val="1"/>
    </font>
    <font>
      <sz val="10"/>
      <color rgb="FF0000FF"/>
      <name val="Arial"/>
      <charset val="1"/>
    </font>
    <font>
      <sz val="10"/>
      <color rgb="FF000000"/>
      <name val="Arial"/>
      <charset val="1"/>
    </font>
    <font>
      <b/>
      <sz val="9"/>
      <color rgb="FFFFFFFF"/>
      <name val="Arial"/>
      <charset val="1"/>
    </font>
    <font>
      <b/>
      <sz val="9"/>
      <color rgb="FF000000"/>
      <name val="Arial"/>
      <charset val="1"/>
    </font>
    <font>
      <sz val="10"/>
      <color rgb="FF008000"/>
      <name val="Arial"/>
      <charset val="1"/>
    </font>
  </fonts>
  <fills count="9">
    <fill>
      <patternFill patternType="none"/>
    </fill>
    <fill>
      <patternFill patternType="gray125"/>
    </fill>
    <fill>
      <patternFill patternType="solid">
        <fgColor rgb="FF1F3864"/>
        <bgColor rgb="FF2E5496"/>
      </patternFill>
    </fill>
    <fill>
      <patternFill patternType="solid">
        <fgColor rgb="FFFFF2CC"/>
        <bgColor rgb="FFE2EFDA"/>
      </patternFill>
    </fill>
    <fill>
      <patternFill patternType="solid">
        <fgColor rgb="FF44546A"/>
        <bgColor rgb="FF2E5496"/>
      </patternFill>
    </fill>
    <fill>
      <patternFill patternType="solid">
        <fgColor rgb="FFE2EFDA"/>
        <bgColor rgb="FFFFF2CC"/>
      </patternFill>
    </fill>
    <fill>
      <patternFill patternType="solid">
        <fgColor rgb="FFC6E0B4"/>
        <bgColor rgb="FFE2EFDA"/>
      </patternFill>
    </fill>
    <fill>
      <patternFill patternType="solid">
        <fgColor rgb="FFFFE699"/>
        <bgColor rgb="FFFFF2CC"/>
      </patternFill>
    </fill>
    <fill>
      <patternFill patternType="solid">
        <fgColor rgb="FF2E5496"/>
        <bgColor rgb="FF44546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3" fontId="5" fillId="3" borderId="1" xfId="0" applyNumberFormat="1" applyFont="1" applyFill="1" applyBorder="1"/>
    <xf numFmtId="3" fontId="6" fillId="0" borderId="1" xfId="0" applyNumberFormat="1" applyFont="1" applyBorder="1"/>
    <xf numFmtId="164" fontId="5" fillId="3" borderId="1" xfId="0" applyNumberFormat="1" applyFont="1" applyFill="1" applyBorder="1"/>
    <xf numFmtId="0" fontId="7" fillId="4" borderId="1" xfId="0" applyFont="1" applyFill="1" applyBorder="1" applyAlignment="1">
      <alignment horizontal="center" vertical="center" wrapText="1"/>
    </xf>
    <xf numFmtId="0" fontId="6" fillId="0" borderId="1" xfId="0" applyFont="1" applyBorder="1"/>
    <xf numFmtId="3" fontId="5" fillId="0" borderId="1" xfId="0" applyNumberFormat="1" applyFont="1" applyBorder="1"/>
    <xf numFmtId="164" fontId="6" fillId="0" borderId="1" xfId="0" applyNumberFormat="1" applyFont="1" applyBorder="1"/>
    <xf numFmtId="0" fontId="8" fillId="6" borderId="1" xfId="0" applyFont="1" applyFill="1" applyBorder="1" applyAlignment="1">
      <alignment horizontal="center"/>
    </xf>
    <xf numFmtId="0" fontId="2" fillId="0" borderId="1" xfId="0" applyFont="1" applyBorder="1" applyAlignment="1">
      <alignment vertical="top" wrapText="1"/>
    </xf>
    <xf numFmtId="0" fontId="8" fillId="7" borderId="1" xfId="0" applyFont="1" applyFill="1" applyBorder="1" applyAlignment="1">
      <alignment horizontal="center"/>
    </xf>
    <xf numFmtId="0" fontId="7" fillId="4" borderId="1" xfId="0" applyFont="1" applyFill="1" applyBorder="1"/>
    <xf numFmtId="9" fontId="5" fillId="3" borderId="1" xfId="0" applyNumberFormat="1" applyFont="1" applyFill="1" applyBorder="1"/>
    <xf numFmtId="0" fontId="2" fillId="0" borderId="1" xfId="0" applyFont="1" applyBorder="1"/>
    <xf numFmtId="0" fontId="4" fillId="0" borderId="1" xfId="0" applyFont="1" applyBorder="1"/>
    <xf numFmtId="4" fontId="5" fillId="3" borderId="1" xfId="0" applyNumberFormat="1" applyFont="1" applyFill="1" applyBorder="1"/>
    <xf numFmtId="4" fontId="5" fillId="0" borderId="1" xfId="0" applyNumberFormat="1" applyFont="1" applyBorder="1"/>
    <xf numFmtId="0" fontId="3" fillId="8" borderId="0" xfId="0" applyFont="1" applyFill="1"/>
    <xf numFmtId="0" fontId="0" fillId="8" borderId="0" xfId="0" applyFill="1"/>
    <xf numFmtId="0" fontId="5" fillId="3" borderId="1" xfId="0" applyFont="1" applyFill="1" applyBorder="1"/>
    <xf numFmtId="0" fontId="6" fillId="0" borderId="0" xfId="0" applyFont="1"/>
    <xf numFmtId="4" fontId="9" fillId="0" borderId="1" xfId="0" applyNumberFormat="1" applyFont="1" applyBorder="1"/>
    <xf numFmtId="3" fontId="9" fillId="0" borderId="1" xfId="0" applyNumberFormat="1" applyFont="1" applyBorder="1"/>
    <xf numFmtId="166" fontId="5" fillId="3" borderId="1" xfId="0" applyNumberFormat="1" applyFont="1" applyFill="1" applyBorder="1"/>
    <xf numFmtId="164" fontId="9" fillId="0" borderId="1" xfId="0" applyNumberFormat="1" applyFont="1" applyBorder="1"/>
    <xf numFmtId="164" fontId="4" fillId="5" borderId="1" xfId="0" applyNumberFormat="1" applyFont="1" applyFill="1" applyBorder="1"/>
    <xf numFmtId="3" fontId="4" fillId="0" borderId="1" xfId="0" applyNumberFormat="1" applyFont="1" applyBorder="1"/>
    <xf numFmtId="167" fontId="6" fillId="0" borderId="1" xfId="0" applyNumberFormat="1" applyFont="1" applyBorder="1"/>
    <xf numFmtId="4" fontId="6" fillId="0" borderId="1" xfId="0" applyNumberFormat="1" applyFont="1" applyBorder="1"/>
    <xf numFmtId="0" fontId="4" fillId="5" borderId="0" xfId="0" applyFont="1" applyFill="1" applyAlignment="1">
      <alignment horizontal="left"/>
    </xf>
    <xf numFmtId="0" fontId="4" fillId="5"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2E5496"/>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tabSelected="1" zoomScaleNormal="100" workbookViewId="0"/>
  </sheetViews>
  <sheetFormatPr defaultColWidth="8.7109375" defaultRowHeight="15" x14ac:dyDescent="0.25"/>
  <cols>
    <col min="1" max="1" width="26" customWidth="1"/>
    <col min="2" max="2" width="15" customWidth="1"/>
    <col min="3" max="3" width="9" customWidth="1"/>
    <col min="4" max="4" width="13" customWidth="1"/>
    <col min="5" max="5" width="40" customWidth="1"/>
  </cols>
  <sheetData>
    <row r="1" spans="1:5" ht="19.5" customHeight="1" x14ac:dyDescent="0.3">
      <c r="A1" s="1" t="s">
        <v>25</v>
      </c>
    </row>
    <row r="2" spans="1:5" x14ac:dyDescent="0.25">
      <c r="A2" s="16" t="s">
        <v>26</v>
      </c>
      <c r="B2" s="16" t="s">
        <v>27</v>
      </c>
      <c r="C2" s="16" t="s">
        <v>28</v>
      </c>
      <c r="D2" s="16" t="s">
        <v>29</v>
      </c>
      <c r="E2" s="16" t="s">
        <v>9</v>
      </c>
    </row>
    <row r="3" spans="1:5" x14ac:dyDescent="0.25">
      <c r="A3" s="10" t="s">
        <v>30</v>
      </c>
      <c r="B3" s="6">
        <v>24</v>
      </c>
      <c r="C3" s="17">
        <v>0.9</v>
      </c>
      <c r="D3" s="12">
        <f t="shared" ref="D3:D9" si="0">B3*C3</f>
        <v>21.6</v>
      </c>
      <c r="E3" s="18" t="s">
        <v>31</v>
      </c>
    </row>
    <row r="4" spans="1:5" x14ac:dyDescent="0.25">
      <c r="A4" s="10" t="s">
        <v>32</v>
      </c>
      <c r="B4" s="6">
        <v>48</v>
      </c>
      <c r="C4" s="17">
        <v>0.9</v>
      </c>
      <c r="D4" s="12">
        <f t="shared" si="0"/>
        <v>43.2</v>
      </c>
      <c r="E4" s="18" t="s">
        <v>33</v>
      </c>
    </row>
    <row r="5" spans="1:5" x14ac:dyDescent="0.25">
      <c r="A5" s="10" t="s">
        <v>34</v>
      </c>
      <c r="B5" s="6">
        <v>80</v>
      </c>
      <c r="C5" s="17">
        <v>0.9</v>
      </c>
      <c r="D5" s="12">
        <f t="shared" si="0"/>
        <v>72</v>
      </c>
      <c r="E5" s="18" t="s">
        <v>35</v>
      </c>
    </row>
    <row r="6" spans="1:5" x14ac:dyDescent="0.25">
      <c r="A6" s="10" t="s">
        <v>36</v>
      </c>
      <c r="B6" s="6">
        <v>128</v>
      </c>
      <c r="C6" s="17">
        <v>0.9</v>
      </c>
      <c r="D6" s="12">
        <f t="shared" si="0"/>
        <v>115.2</v>
      </c>
      <c r="E6" s="18" t="s">
        <v>37</v>
      </c>
    </row>
    <row r="7" spans="1:5" x14ac:dyDescent="0.25">
      <c r="A7" s="10" t="s">
        <v>38</v>
      </c>
      <c r="B7" s="6">
        <v>141</v>
      </c>
      <c r="C7" s="17">
        <v>0.9</v>
      </c>
      <c r="D7" s="12">
        <f t="shared" si="0"/>
        <v>126.9</v>
      </c>
      <c r="E7" s="18" t="s">
        <v>39</v>
      </c>
    </row>
    <row r="8" spans="1:5" x14ac:dyDescent="0.25">
      <c r="A8" s="10" t="s">
        <v>40</v>
      </c>
      <c r="B8" s="6">
        <v>180</v>
      </c>
      <c r="C8" s="17">
        <v>0.9</v>
      </c>
      <c r="D8" s="12">
        <f t="shared" si="0"/>
        <v>162</v>
      </c>
      <c r="E8" s="18" t="s">
        <v>41</v>
      </c>
    </row>
    <row r="9" spans="1:5" x14ac:dyDescent="0.25">
      <c r="A9" s="10" t="s">
        <v>42</v>
      </c>
      <c r="B9" s="6">
        <v>192</v>
      </c>
      <c r="C9" s="17">
        <v>0.9</v>
      </c>
      <c r="D9" s="12">
        <f t="shared" si="0"/>
        <v>172.8</v>
      </c>
      <c r="E9" s="18" t="s">
        <v>43</v>
      </c>
    </row>
    <row r="11" spans="1:5" x14ac:dyDescent="0.25">
      <c r="A11" s="2" t="s">
        <v>44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1"/>
  <sheetViews>
    <sheetView zoomScaleNormal="100" workbookViewId="0"/>
  </sheetViews>
  <sheetFormatPr defaultColWidth="8.7109375" defaultRowHeight="15" x14ac:dyDescent="0.25"/>
  <cols>
    <col min="1" max="1" width="125" customWidth="1"/>
  </cols>
  <sheetData>
    <row r="1" spans="1:1" ht="19.5" customHeight="1" x14ac:dyDescent="0.3">
      <c r="A1" s="1" t="s">
        <v>45</v>
      </c>
    </row>
    <row r="3" spans="1:1" x14ac:dyDescent="0.25">
      <c r="A3" s="5" t="s">
        <v>46</v>
      </c>
    </row>
    <row r="4" spans="1:1" x14ac:dyDescent="0.25">
      <c r="A4" s="2" t="s">
        <v>47</v>
      </c>
    </row>
    <row r="5" spans="1:1" x14ac:dyDescent="0.25">
      <c r="A5" s="2" t="s">
        <v>48</v>
      </c>
    </row>
    <row r="6" spans="1:1" x14ac:dyDescent="0.25">
      <c r="A6" s="2" t="s">
        <v>49</v>
      </c>
    </row>
    <row r="7" spans="1:1" x14ac:dyDescent="0.25">
      <c r="A7" s="2" t="s">
        <v>50</v>
      </c>
    </row>
    <row r="8" spans="1:1" x14ac:dyDescent="0.25">
      <c r="A8" s="2"/>
    </row>
    <row r="9" spans="1:1" x14ac:dyDescent="0.25">
      <c r="A9" s="5" t="s">
        <v>51</v>
      </c>
    </row>
    <row r="10" spans="1:1" x14ac:dyDescent="0.25">
      <c r="A10" s="2" t="s">
        <v>52</v>
      </c>
    </row>
    <row r="11" spans="1:1" x14ac:dyDescent="0.25">
      <c r="A11" s="2" t="s">
        <v>53</v>
      </c>
    </row>
    <row r="12" spans="1:1" x14ac:dyDescent="0.25">
      <c r="A12" s="2" t="s">
        <v>54</v>
      </c>
    </row>
    <row r="13" spans="1:1" x14ac:dyDescent="0.25">
      <c r="A13" s="2" t="s">
        <v>55</v>
      </c>
    </row>
    <row r="14" spans="1:1" x14ac:dyDescent="0.25">
      <c r="A14" s="2" t="s">
        <v>56</v>
      </c>
    </row>
    <row r="15" spans="1:1" x14ac:dyDescent="0.25">
      <c r="A15" s="2" t="s">
        <v>57</v>
      </c>
    </row>
    <row r="16" spans="1:1" x14ac:dyDescent="0.25">
      <c r="A16" s="2" t="s">
        <v>58</v>
      </c>
    </row>
    <row r="17" spans="1:1" x14ac:dyDescent="0.25">
      <c r="A17" s="2"/>
    </row>
    <row r="18" spans="1:1" x14ac:dyDescent="0.25">
      <c r="A18" s="5" t="s">
        <v>59</v>
      </c>
    </row>
    <row r="19" spans="1:1" x14ac:dyDescent="0.25">
      <c r="A19" s="2" t="s">
        <v>60</v>
      </c>
    </row>
    <row r="20" spans="1:1" x14ac:dyDescent="0.25">
      <c r="A20" s="2" t="s">
        <v>61</v>
      </c>
    </row>
    <row r="21" spans="1:1" x14ac:dyDescent="0.25">
      <c r="A21" s="2"/>
    </row>
    <row r="22" spans="1:1" x14ac:dyDescent="0.25">
      <c r="A22" s="5" t="s">
        <v>62</v>
      </c>
    </row>
    <row r="23" spans="1:1" x14ac:dyDescent="0.25">
      <c r="A23" s="2" t="s">
        <v>63</v>
      </c>
    </row>
    <row r="24" spans="1:1" x14ac:dyDescent="0.25">
      <c r="A24" s="2" t="s">
        <v>64</v>
      </c>
    </row>
    <row r="25" spans="1:1" x14ac:dyDescent="0.25">
      <c r="A25" s="2" t="s">
        <v>65</v>
      </c>
    </row>
    <row r="26" spans="1:1" x14ac:dyDescent="0.25">
      <c r="A26" s="2" t="s">
        <v>66</v>
      </c>
    </row>
    <row r="27" spans="1:1" x14ac:dyDescent="0.25">
      <c r="A27" s="2"/>
    </row>
    <row r="28" spans="1:1" x14ac:dyDescent="0.25">
      <c r="A28" s="5" t="s">
        <v>67</v>
      </c>
    </row>
    <row r="29" spans="1:1" x14ac:dyDescent="0.25">
      <c r="A29" s="2" t="s">
        <v>68</v>
      </c>
    </row>
    <row r="30" spans="1:1" x14ac:dyDescent="0.25">
      <c r="A30" s="2" t="s">
        <v>69</v>
      </c>
    </row>
    <row r="31" spans="1:1" x14ac:dyDescent="0.25">
      <c r="A31" s="2"/>
    </row>
    <row r="32" spans="1:1" x14ac:dyDescent="0.25">
      <c r="A32" s="5" t="s">
        <v>70</v>
      </c>
    </row>
    <row r="33" spans="1:1" x14ac:dyDescent="0.25">
      <c r="A33" s="2" t="s">
        <v>71</v>
      </c>
    </row>
    <row r="34" spans="1:1" x14ac:dyDescent="0.25">
      <c r="A34" s="2" t="s">
        <v>72</v>
      </c>
    </row>
    <row r="35" spans="1:1" x14ac:dyDescent="0.25">
      <c r="A35" s="2" t="s">
        <v>73</v>
      </c>
    </row>
    <row r="36" spans="1:1" x14ac:dyDescent="0.25">
      <c r="A36" s="2" t="s">
        <v>74</v>
      </c>
    </row>
    <row r="37" spans="1:1" x14ac:dyDescent="0.25">
      <c r="A37" s="2"/>
    </row>
    <row r="38" spans="1:1" x14ac:dyDescent="0.25">
      <c r="A38" s="2" t="s">
        <v>75</v>
      </c>
    </row>
    <row r="39" spans="1:1" x14ac:dyDescent="0.25">
      <c r="A39" s="2" t="s">
        <v>76</v>
      </c>
    </row>
    <row r="40" spans="1:1" x14ac:dyDescent="0.25">
      <c r="A40" s="2" t="s">
        <v>77</v>
      </c>
    </row>
    <row r="41" spans="1:1" x14ac:dyDescent="0.25">
      <c r="A41" s="2" t="s">
        <v>78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1"/>
  <sheetViews>
    <sheetView showGridLines="0" topLeftCell="A17" zoomScaleNormal="100" workbookViewId="0"/>
  </sheetViews>
  <sheetFormatPr defaultColWidth="8.7109375" defaultRowHeight="15" x14ac:dyDescent="0.25"/>
  <cols>
    <col min="1" max="1" width="34" customWidth="1"/>
    <col min="2" max="2" width="16" customWidth="1"/>
    <col min="3" max="3" width="6" customWidth="1"/>
    <col min="4" max="4" width="60" customWidth="1"/>
    <col min="5" max="9" width="8" customWidth="1"/>
  </cols>
  <sheetData>
    <row r="1" spans="1:11" ht="19.5" x14ac:dyDescent="0.3">
      <c r="A1" s="1" t="s">
        <v>79</v>
      </c>
    </row>
    <row r="2" spans="1:11" x14ac:dyDescent="0.25">
      <c r="A2" s="2" t="s">
        <v>80</v>
      </c>
    </row>
    <row r="4" spans="1:11" x14ac:dyDescent="0.25">
      <c r="A4" s="3" t="s">
        <v>81</v>
      </c>
      <c r="B4" s="4"/>
      <c r="C4" s="4"/>
      <c r="D4" s="4"/>
      <c r="E4" s="4"/>
      <c r="F4" s="4"/>
      <c r="G4" s="4"/>
      <c r="H4" s="4"/>
      <c r="I4" s="4"/>
      <c r="J4" s="4"/>
      <c r="K4" s="4"/>
    </row>
    <row r="5" spans="1:11" ht="24" x14ac:dyDescent="0.25">
      <c r="A5" s="9" t="s">
        <v>2</v>
      </c>
      <c r="B5" s="9" t="s">
        <v>82</v>
      </c>
      <c r="C5" s="9" t="s">
        <v>83</v>
      </c>
      <c r="D5" s="9" t="s">
        <v>84</v>
      </c>
      <c r="E5" s="9" t="s">
        <v>85</v>
      </c>
      <c r="F5" s="9" t="s">
        <v>86</v>
      </c>
      <c r="G5" s="9" t="s">
        <v>87</v>
      </c>
      <c r="H5" s="9" t="s">
        <v>5</v>
      </c>
      <c r="I5" s="9" t="s">
        <v>6</v>
      </c>
      <c r="J5" s="9" t="s">
        <v>8</v>
      </c>
      <c r="K5" s="9" t="s">
        <v>88</v>
      </c>
    </row>
    <row r="6" spans="1:11" ht="96" x14ac:dyDescent="0.25">
      <c r="A6" s="19" t="s">
        <v>10</v>
      </c>
      <c r="B6" s="20">
        <v>3.8</v>
      </c>
      <c r="C6" s="6">
        <v>30</v>
      </c>
      <c r="D6" s="6">
        <v>4</v>
      </c>
      <c r="E6" s="6">
        <v>26</v>
      </c>
      <c r="F6" s="6">
        <v>4096</v>
      </c>
      <c r="G6" s="6">
        <v>8</v>
      </c>
      <c r="H6" s="6">
        <v>4</v>
      </c>
      <c r="I6" s="6">
        <v>256</v>
      </c>
      <c r="J6" s="15" t="s">
        <v>14</v>
      </c>
      <c r="K6" s="14" t="s">
        <v>89</v>
      </c>
    </row>
    <row r="7" spans="1:11" ht="72" x14ac:dyDescent="0.25">
      <c r="A7" s="19" t="s">
        <v>12</v>
      </c>
      <c r="B7" s="21">
        <v>4</v>
      </c>
      <c r="C7" s="11">
        <v>34</v>
      </c>
      <c r="D7" s="11">
        <v>6</v>
      </c>
      <c r="E7" s="11">
        <v>28</v>
      </c>
      <c r="F7" s="11">
        <v>1024</v>
      </c>
      <c r="G7" s="11">
        <v>8</v>
      </c>
      <c r="H7" s="11">
        <v>4</v>
      </c>
      <c r="I7" s="11">
        <v>256</v>
      </c>
      <c r="J7" s="13" t="s">
        <v>11</v>
      </c>
      <c r="K7" s="14" t="s">
        <v>90</v>
      </c>
    </row>
    <row r="8" spans="1:11" ht="60" x14ac:dyDescent="0.25">
      <c r="A8" s="19" t="s">
        <v>13</v>
      </c>
      <c r="B8" s="20">
        <v>4</v>
      </c>
      <c r="C8" s="6">
        <v>34</v>
      </c>
      <c r="D8" s="6">
        <v>6</v>
      </c>
      <c r="E8" s="6">
        <v>28</v>
      </c>
      <c r="F8" s="6">
        <v>1024</v>
      </c>
      <c r="G8" s="6">
        <v>8</v>
      </c>
      <c r="H8" s="6">
        <v>4</v>
      </c>
      <c r="I8" s="6">
        <v>256</v>
      </c>
      <c r="J8" s="15" t="s">
        <v>14</v>
      </c>
      <c r="K8" s="14" t="s">
        <v>91</v>
      </c>
    </row>
    <row r="9" spans="1:11" ht="108" x14ac:dyDescent="0.25">
      <c r="A9" s="19" t="s">
        <v>15</v>
      </c>
      <c r="B9" s="21">
        <v>5.0999999999999996</v>
      </c>
      <c r="C9" s="11">
        <v>36</v>
      </c>
      <c r="D9" s="11">
        <v>18</v>
      </c>
      <c r="E9" s="11">
        <v>18</v>
      </c>
      <c r="F9" s="11">
        <v>128</v>
      </c>
      <c r="G9" s="11">
        <v>64</v>
      </c>
      <c r="H9" s="11">
        <v>8</v>
      </c>
      <c r="I9" s="11">
        <v>64</v>
      </c>
      <c r="J9" s="13" t="s">
        <v>11</v>
      </c>
      <c r="K9" s="14" t="s">
        <v>92</v>
      </c>
    </row>
    <row r="10" spans="1:11" ht="156" x14ac:dyDescent="0.25">
      <c r="A10" s="19" t="s">
        <v>16</v>
      </c>
      <c r="B10" s="20">
        <v>1.2</v>
      </c>
      <c r="C10" s="6">
        <v>6</v>
      </c>
      <c r="D10" s="6">
        <v>6</v>
      </c>
      <c r="E10" s="6">
        <v>0</v>
      </c>
      <c r="F10" s="6">
        <v>0</v>
      </c>
      <c r="G10" s="6">
        <v>16</v>
      </c>
      <c r="H10" s="6">
        <v>8</v>
      </c>
      <c r="I10" s="6">
        <v>128</v>
      </c>
      <c r="J10" s="15" t="s">
        <v>14</v>
      </c>
      <c r="K10" s="14" t="s">
        <v>93</v>
      </c>
    </row>
    <row r="11" spans="1:11" ht="24" x14ac:dyDescent="0.25">
      <c r="A11" s="19" t="s">
        <v>17</v>
      </c>
      <c r="B11" s="21">
        <v>70</v>
      </c>
      <c r="C11" s="11">
        <v>80</v>
      </c>
      <c r="D11" s="11">
        <v>80</v>
      </c>
      <c r="E11" s="11">
        <v>0</v>
      </c>
      <c r="F11" s="11">
        <v>0</v>
      </c>
      <c r="G11" s="11">
        <v>64</v>
      </c>
      <c r="H11" s="11">
        <v>8</v>
      </c>
      <c r="I11" s="11">
        <v>128</v>
      </c>
      <c r="J11" s="13" t="s">
        <v>11</v>
      </c>
      <c r="K11" s="14" t="s">
        <v>94</v>
      </c>
    </row>
    <row r="12" spans="1:11" ht="24" x14ac:dyDescent="0.25">
      <c r="A12" s="19" t="s">
        <v>18</v>
      </c>
      <c r="B12" s="21">
        <v>1.24</v>
      </c>
      <c r="C12" s="11">
        <v>16</v>
      </c>
      <c r="D12" s="11">
        <v>16</v>
      </c>
      <c r="E12" s="11">
        <v>0</v>
      </c>
      <c r="F12" s="11">
        <v>0</v>
      </c>
      <c r="G12" s="11">
        <v>32</v>
      </c>
      <c r="H12" s="11">
        <v>8</v>
      </c>
      <c r="I12" s="11">
        <v>64</v>
      </c>
      <c r="J12" s="13" t="s">
        <v>11</v>
      </c>
      <c r="K12" s="14" t="s">
        <v>95</v>
      </c>
    </row>
    <row r="13" spans="1:11" ht="72" x14ac:dyDescent="0.25">
      <c r="A13" s="19" t="s">
        <v>19</v>
      </c>
      <c r="B13" s="20">
        <v>8</v>
      </c>
      <c r="C13" s="6">
        <v>32</v>
      </c>
      <c r="D13" s="6">
        <v>32</v>
      </c>
      <c r="E13" s="6">
        <v>0</v>
      </c>
      <c r="F13" s="6">
        <v>0</v>
      </c>
      <c r="G13" s="6">
        <v>32</v>
      </c>
      <c r="H13" s="6">
        <v>8</v>
      </c>
      <c r="I13" s="6">
        <v>128</v>
      </c>
      <c r="J13" s="15" t="s">
        <v>14</v>
      </c>
      <c r="K13" s="14" t="s">
        <v>96</v>
      </c>
    </row>
    <row r="14" spans="1:11" ht="48" x14ac:dyDescent="0.25">
      <c r="A14" s="19" t="s">
        <v>20</v>
      </c>
      <c r="B14" s="21">
        <v>3.3</v>
      </c>
      <c r="C14" s="11">
        <v>48</v>
      </c>
      <c r="D14" s="11">
        <v>48</v>
      </c>
      <c r="E14" s="11">
        <v>0</v>
      </c>
      <c r="F14" s="11">
        <v>0</v>
      </c>
      <c r="G14" s="11">
        <v>32</v>
      </c>
      <c r="H14" s="11">
        <v>4</v>
      </c>
      <c r="I14" s="11">
        <v>128</v>
      </c>
      <c r="J14" s="13" t="s">
        <v>11</v>
      </c>
      <c r="K14" s="14" t="s">
        <v>97</v>
      </c>
    </row>
    <row r="15" spans="1:11" ht="60" x14ac:dyDescent="0.25">
      <c r="A15" s="19" t="s">
        <v>21</v>
      </c>
      <c r="B15" s="20">
        <v>4</v>
      </c>
      <c r="C15" s="6">
        <v>36</v>
      </c>
      <c r="D15" s="6">
        <v>36</v>
      </c>
      <c r="E15" s="6">
        <v>0</v>
      </c>
      <c r="F15" s="6">
        <v>0</v>
      </c>
      <c r="G15" s="6">
        <v>32</v>
      </c>
      <c r="H15" s="6">
        <v>8</v>
      </c>
      <c r="I15" s="6">
        <v>128</v>
      </c>
      <c r="J15" s="15" t="s">
        <v>14</v>
      </c>
      <c r="K15" s="14" t="s">
        <v>98</v>
      </c>
    </row>
    <row r="16" spans="1:11" ht="84" x14ac:dyDescent="0.25">
      <c r="A16" s="19" t="s">
        <v>22</v>
      </c>
      <c r="B16" s="20">
        <v>27</v>
      </c>
      <c r="C16" s="6">
        <v>64</v>
      </c>
      <c r="D16" s="6">
        <v>64</v>
      </c>
      <c r="E16" s="6">
        <v>0</v>
      </c>
      <c r="F16" s="6">
        <v>0</v>
      </c>
      <c r="G16" s="6">
        <v>40</v>
      </c>
      <c r="H16" s="6">
        <v>8</v>
      </c>
      <c r="I16" s="6">
        <v>128</v>
      </c>
      <c r="J16" s="15" t="s">
        <v>14</v>
      </c>
      <c r="K16" s="14" t="s">
        <v>99</v>
      </c>
    </row>
    <row r="17" spans="1:11" ht="108" x14ac:dyDescent="0.25">
      <c r="A17" s="19" t="s">
        <v>23</v>
      </c>
      <c r="B17" s="20">
        <v>10</v>
      </c>
      <c r="C17" s="6">
        <v>80</v>
      </c>
      <c r="D17" s="6">
        <v>80</v>
      </c>
      <c r="E17" s="6">
        <v>0</v>
      </c>
      <c r="F17" s="6">
        <v>0</v>
      </c>
      <c r="G17" s="6">
        <v>40</v>
      </c>
      <c r="H17" s="6">
        <v>8</v>
      </c>
      <c r="I17" s="6">
        <v>128</v>
      </c>
      <c r="J17" s="15" t="s">
        <v>14</v>
      </c>
      <c r="K17" s="14" t="s">
        <v>100</v>
      </c>
    </row>
    <row r="18" spans="1:11" ht="72" x14ac:dyDescent="0.25">
      <c r="A18" s="19" t="s">
        <v>24</v>
      </c>
      <c r="B18" s="20">
        <v>2.4</v>
      </c>
      <c r="C18" s="6">
        <v>48</v>
      </c>
      <c r="D18" s="6">
        <v>48</v>
      </c>
      <c r="E18" s="6">
        <v>0</v>
      </c>
      <c r="F18" s="6">
        <v>0</v>
      </c>
      <c r="G18" s="6">
        <v>32</v>
      </c>
      <c r="H18" s="6">
        <v>4</v>
      </c>
      <c r="I18" s="6">
        <v>128</v>
      </c>
      <c r="J18" s="15" t="s">
        <v>14</v>
      </c>
      <c r="K18" s="14" t="s">
        <v>101</v>
      </c>
    </row>
    <row r="20" spans="1:11" x14ac:dyDescent="0.25">
      <c r="A20" s="3" t="s">
        <v>102</v>
      </c>
      <c r="B20" s="4"/>
      <c r="C20" s="4"/>
      <c r="D20" s="4"/>
      <c r="E20" s="4"/>
    </row>
    <row r="21" spans="1:11" x14ac:dyDescent="0.25">
      <c r="A21" s="9" t="s">
        <v>103</v>
      </c>
      <c r="B21" s="9" t="s">
        <v>104</v>
      </c>
      <c r="C21" s="9" t="s">
        <v>8</v>
      </c>
      <c r="D21" s="9" t="s">
        <v>105</v>
      </c>
      <c r="E21" s="9"/>
    </row>
    <row r="22" spans="1:11" x14ac:dyDescent="0.25">
      <c r="A22" s="10" t="s">
        <v>106</v>
      </c>
      <c r="B22" s="6">
        <v>600</v>
      </c>
      <c r="C22" s="13" t="s">
        <v>11</v>
      </c>
      <c r="D22" s="14" t="s">
        <v>107</v>
      </c>
    </row>
    <row r="23" spans="1:11" ht="24" x14ac:dyDescent="0.25">
      <c r="A23" s="10" t="s">
        <v>108</v>
      </c>
      <c r="B23" s="6">
        <v>50</v>
      </c>
      <c r="C23" s="15" t="s">
        <v>14</v>
      </c>
      <c r="D23" s="14" t="s">
        <v>109</v>
      </c>
    </row>
    <row r="24" spans="1:11" x14ac:dyDescent="0.25">
      <c r="A24" s="10" t="s">
        <v>110</v>
      </c>
      <c r="B24" s="6">
        <v>14</v>
      </c>
      <c r="C24" s="13" t="s">
        <v>11</v>
      </c>
      <c r="D24" s="14" t="s">
        <v>111</v>
      </c>
    </row>
    <row r="25" spans="1:11" ht="24" x14ac:dyDescent="0.25">
      <c r="A25" s="10" t="s">
        <v>112</v>
      </c>
      <c r="B25" s="6">
        <v>40</v>
      </c>
      <c r="C25" s="15" t="s">
        <v>14</v>
      </c>
      <c r="D25" s="14" t="s">
        <v>113</v>
      </c>
    </row>
    <row r="26" spans="1:11" ht="24" x14ac:dyDescent="0.25">
      <c r="A26" s="10" t="s">
        <v>114</v>
      </c>
      <c r="B26" s="6">
        <v>55</v>
      </c>
      <c r="C26" s="13" t="s">
        <v>11</v>
      </c>
      <c r="D26" s="14" t="s">
        <v>115</v>
      </c>
    </row>
    <row r="28" spans="1:11" x14ac:dyDescent="0.25">
      <c r="A28" s="3" t="s">
        <v>116</v>
      </c>
      <c r="B28" s="4"/>
      <c r="C28" s="4"/>
      <c r="D28" s="4"/>
      <c r="E28" s="4"/>
    </row>
    <row r="29" spans="1:11" ht="24" x14ac:dyDescent="0.25">
      <c r="A29" s="9" t="s">
        <v>26</v>
      </c>
      <c r="B29" s="9" t="s">
        <v>117</v>
      </c>
      <c r="C29" s="9" t="s">
        <v>8</v>
      </c>
      <c r="D29" s="9" t="s">
        <v>105</v>
      </c>
      <c r="E29" s="9"/>
    </row>
    <row r="30" spans="1:11" ht="24" x14ac:dyDescent="0.25">
      <c r="A30" s="10" t="s">
        <v>118</v>
      </c>
      <c r="B30" s="8">
        <v>183.5</v>
      </c>
      <c r="C30" s="15" t="s">
        <v>14</v>
      </c>
      <c r="D30" s="14" t="s">
        <v>119</v>
      </c>
    </row>
    <row r="31" spans="1:11" ht="24" x14ac:dyDescent="0.25">
      <c r="A31" s="10" t="s">
        <v>120</v>
      </c>
      <c r="B31" s="8">
        <v>600</v>
      </c>
      <c r="C31" s="15" t="s">
        <v>14</v>
      </c>
      <c r="D31" s="14" t="s">
        <v>121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1"/>
  <sheetViews>
    <sheetView showGridLines="0" zoomScaleNormal="100" workbookViewId="0">
      <pane ySplit="2" topLeftCell="A3" activePane="bottomLeft" state="frozen"/>
      <selection pane="bottomLeft" activeCell="P18" sqref="P18"/>
    </sheetView>
  </sheetViews>
  <sheetFormatPr defaultColWidth="8.7109375" defaultRowHeight="15" x14ac:dyDescent="0.25"/>
  <cols>
    <col min="1" max="1" width="18" customWidth="1"/>
    <col min="2" max="2" width="15" customWidth="1"/>
    <col min="3" max="4" width="16" customWidth="1"/>
    <col min="5" max="5" width="15" customWidth="1"/>
    <col min="6" max="7" width="13" customWidth="1"/>
    <col min="8" max="8" width="14" customWidth="1"/>
    <col min="9" max="10" width="13" customWidth="1"/>
  </cols>
  <sheetData>
    <row r="1" spans="1:13" ht="19.5" x14ac:dyDescent="0.3">
      <c r="A1" s="1" t="s">
        <v>122</v>
      </c>
    </row>
    <row r="2" spans="1:13" x14ac:dyDescent="0.25">
      <c r="A2" s="2" t="s">
        <v>123</v>
      </c>
    </row>
    <row r="4" spans="1:13" x14ac:dyDescent="0.25">
      <c r="A4" s="22" t="s">
        <v>124</v>
      </c>
      <c r="B4" s="23"/>
      <c r="C4" s="23"/>
      <c r="D4" s="23"/>
      <c r="E4" s="23"/>
      <c r="F4" s="22" t="s">
        <v>125</v>
      </c>
      <c r="G4" s="23"/>
      <c r="H4" s="23"/>
      <c r="I4" s="23"/>
      <c r="J4" s="23"/>
      <c r="K4" s="23"/>
      <c r="L4" s="23"/>
      <c r="M4" s="23"/>
    </row>
    <row r="5" spans="1:13" x14ac:dyDescent="0.25">
      <c r="A5" s="5" t="s">
        <v>2</v>
      </c>
      <c r="C5" s="24" t="s">
        <v>15</v>
      </c>
      <c r="F5" s="25" t="s">
        <v>82</v>
      </c>
      <c r="H5" s="26">
        <f>INDEX('Offload Refs'!B$6:B$18,MATCH($C$5,'Offload Refs'!$A$6:$A$18,0))</f>
        <v>5.0999999999999996</v>
      </c>
    </row>
    <row r="6" spans="1:13" x14ac:dyDescent="0.25">
      <c r="A6" s="5" t="s">
        <v>126</v>
      </c>
      <c r="C6" s="24" t="s">
        <v>120</v>
      </c>
      <c r="F6" s="25" t="s">
        <v>83</v>
      </c>
      <c r="H6" s="27">
        <f>INDEX('Offload Refs'!C$6:C$18,MATCH($C$5,'Offload Refs'!$A$6:$A$18,0))</f>
        <v>36</v>
      </c>
    </row>
    <row r="7" spans="1:13" x14ac:dyDescent="0.25">
      <c r="A7" s="5" t="s">
        <v>0</v>
      </c>
      <c r="C7" s="8">
        <v>2</v>
      </c>
      <c r="D7" s="2" t="s">
        <v>1</v>
      </c>
      <c r="F7" s="25" t="s">
        <v>127</v>
      </c>
      <c r="H7" s="27">
        <f>INDEX('Offload Refs'!D$6:D$18,MATCH($C$5,'Offload Refs'!$A$6:$A$18,0))</f>
        <v>18</v>
      </c>
    </row>
    <row r="8" spans="1:13" x14ac:dyDescent="0.25">
      <c r="A8" s="5" t="s">
        <v>128</v>
      </c>
      <c r="C8" s="17">
        <v>0.6</v>
      </c>
      <c r="D8" s="2" t="s">
        <v>129</v>
      </c>
      <c r="F8" s="25" t="s">
        <v>3</v>
      </c>
      <c r="H8" s="27">
        <f>INDEX('Offload Refs'!E$6:E$18,MATCH($C$5,'Offload Refs'!$A$6:$A$18,0))</f>
        <v>18</v>
      </c>
    </row>
    <row r="9" spans="1:13" x14ac:dyDescent="0.25">
      <c r="A9" s="5" t="s">
        <v>130</v>
      </c>
      <c r="C9" s="28">
        <v>0.5</v>
      </c>
      <c r="D9" s="2" t="s">
        <v>131</v>
      </c>
      <c r="F9" s="25" t="s">
        <v>4</v>
      </c>
      <c r="H9" s="27">
        <f>INDEX('Offload Refs'!F$6:F$18,MATCH($C$5,'Offload Refs'!$A$6:$A$18,0))</f>
        <v>128</v>
      </c>
    </row>
    <row r="10" spans="1:13" x14ac:dyDescent="0.25">
      <c r="F10" s="25" t="s">
        <v>87</v>
      </c>
      <c r="H10" s="27">
        <f>INDEX('Offload Refs'!G$6:G$18,MATCH($C$5,'Offload Refs'!$A$6:$A$18,0))</f>
        <v>64</v>
      </c>
    </row>
    <row r="11" spans="1:13" x14ac:dyDescent="0.25">
      <c r="F11" s="25" t="s">
        <v>5</v>
      </c>
      <c r="H11" s="27">
        <f>INDEX('Offload Refs'!H$6:H$18,MATCH($C$5,'Offload Refs'!$A$6:$A$18,0))</f>
        <v>8</v>
      </c>
    </row>
    <row r="12" spans="1:13" x14ac:dyDescent="0.25">
      <c r="F12" s="25" t="s">
        <v>6</v>
      </c>
      <c r="H12" s="27">
        <f>INDEX('Offload Refs'!I$6:I$18,MATCH($C$5,'Offload Refs'!$A$6:$A$18,0))</f>
        <v>64</v>
      </c>
    </row>
    <row r="13" spans="1:13" x14ac:dyDescent="0.25">
      <c r="F13" s="25" t="s">
        <v>132</v>
      </c>
      <c r="H13" s="27">
        <f>H10*H12</f>
        <v>4096</v>
      </c>
    </row>
    <row r="14" spans="1:13" x14ac:dyDescent="0.25">
      <c r="F14" s="25" t="s">
        <v>7</v>
      </c>
      <c r="H14" s="27">
        <f>2*H11*H12*$C$7</f>
        <v>2048</v>
      </c>
    </row>
    <row r="16" spans="1:13" x14ac:dyDescent="0.25">
      <c r="F16" s="25" t="s">
        <v>133</v>
      </c>
      <c r="H16" s="29">
        <f>INDEX('Offload Refs'!$B$30:$B$31,MATCH($C$6,'Offload Refs'!$A$30:$A$31,0))</f>
        <v>600</v>
      </c>
    </row>
    <row r="17" spans="1:10" x14ac:dyDescent="0.25">
      <c r="F17" s="25" t="s">
        <v>134</v>
      </c>
      <c r="H17" s="30">
        <f>H16*$C$8</f>
        <v>360</v>
      </c>
    </row>
    <row r="20" spans="1:10" x14ac:dyDescent="0.25">
      <c r="A20" s="22" t="s">
        <v>135</v>
      </c>
      <c r="B20" s="23"/>
      <c r="C20" s="23"/>
      <c r="D20" s="23"/>
      <c r="E20" s="23"/>
      <c r="F20" s="23"/>
      <c r="G20" s="23"/>
      <c r="H20" s="23"/>
      <c r="I20" s="23"/>
      <c r="J20" s="23"/>
    </row>
    <row r="21" spans="1:10" ht="24" x14ac:dyDescent="0.25">
      <c r="A21" s="9" t="s">
        <v>136</v>
      </c>
      <c r="B21" s="9" t="s">
        <v>137</v>
      </c>
      <c r="C21" s="9" t="s">
        <v>138</v>
      </c>
      <c r="D21" s="9" t="s">
        <v>139</v>
      </c>
      <c r="E21" s="9" t="s">
        <v>140</v>
      </c>
      <c r="F21" s="9" t="s">
        <v>141</v>
      </c>
      <c r="G21" s="9" t="s">
        <v>142</v>
      </c>
      <c r="H21" s="9" t="s">
        <v>143</v>
      </c>
      <c r="I21" s="9" t="s">
        <v>144</v>
      </c>
      <c r="J21" s="9" t="s">
        <v>145</v>
      </c>
    </row>
    <row r="22" spans="1:10" x14ac:dyDescent="0.25">
      <c r="A22" s="31">
        <v>4096</v>
      </c>
      <c r="B22" s="32">
        <f>$H$14*($H$7*A22+$H$8*MIN(A22,$H$9))/1073741824</f>
        <v>0.14501953125</v>
      </c>
      <c r="C22" s="12">
        <f>(2*$H$5*1000000000*A22+4*$C$9*$H$13*($H$7*A22^2+$H$8*A22*MIN(A22,$H$9)))/1000000000000</f>
        <v>44.330410573823997</v>
      </c>
      <c r="D22" s="7">
        <f>(2*$H$5*1000000000*A22+4*$C$9*$H$13*($H$7*A22^2+$H$8*A22*MIN(A22,$H$9)))/('Offload Refs'!$B$30*$C$8*1000000000000)*1000</f>
        <v>402.63769821820159</v>
      </c>
      <c r="E22" s="7">
        <f>(2*$H$5*1000000000*A22+4*$C$9*$H$13*($H$7*A22^2+$H$8*A22*MIN(A22,$H$9)))/('Offload Refs'!$B$31*$C$8*1000000000000)*1000</f>
        <v>123.14002937173333</v>
      </c>
      <c r="F22" s="33">
        <f>$H$14*($H$7*A22+$H$8*MIN(A22,$H$9))/('Offload Refs'!$B$22*1000000000)*1000</f>
        <v>0.25952256000000001</v>
      </c>
      <c r="G22" s="33">
        <f>$H$14*($H$7*A22+$H$8*MIN(A22,$H$9))/('Offload Refs'!$B$23*1000000000)*1000</f>
        <v>3.1142707199999999</v>
      </c>
      <c r="H22" s="12">
        <f>$H$14*($H$7*A22+$H$8*MIN(A22,$H$9))/('Offload Refs'!$B$24*1000000000)*1000</f>
        <v>11.122395428571428</v>
      </c>
      <c r="I22" s="12">
        <f>$H$14*($H$7*A22+$H$8*MIN(A22,$H$9))/('Offload Refs'!$B$25*1000000000)*1000</f>
        <v>3.8928384</v>
      </c>
      <c r="J22" s="33">
        <f>$H$14*($H$7*A22+$H$8*MIN(A22,$H$9))/('Offload Refs'!$B$26*1000000000)*1000</f>
        <v>2.8311552</v>
      </c>
    </row>
    <row r="23" spans="1:10" x14ac:dyDescent="0.25">
      <c r="A23" s="31">
        <v>8192</v>
      </c>
      <c r="B23" s="32">
        <f>$H$14*($H$7*A23+$H$8*MIN(A23,$H$9))/1073741824</f>
        <v>0.28564453125</v>
      </c>
      <c r="C23" s="12">
        <f>(2*$H$5*1000000000*A23+4*$C$9*$H$13*($H$7*A23^2+$H$8*A23*MIN(A23,$H$9)))/1000000000000</f>
        <v>93.608623472640005</v>
      </c>
      <c r="D23" s="7">
        <f>(2*$H$5*1000000000*A23+4*$C$9*$H$13*($H$7*A23^2+$H$8*A23*MIN(A23,$H$9)))/('Offload Refs'!$B$30*$C$8*1000000000000)*1000</f>
        <v>850.21456378419612</v>
      </c>
      <c r="E23" s="7">
        <f>(2*$H$5*1000000000*A23+4*$C$9*$H$13*($H$7*A23^2+$H$8*A23*MIN(A23,$H$9)))/('Offload Refs'!$B$31*$C$8*1000000000000)*1000</f>
        <v>260.02395409066662</v>
      </c>
      <c r="F23" s="33">
        <f>$H$14*($H$7*A23+$H$8*MIN(A23,$H$9))/('Offload Refs'!$B$22*1000000000)*1000</f>
        <v>0.51118079999999999</v>
      </c>
      <c r="G23" s="33">
        <f>$H$14*($H$7*A23+$H$8*MIN(A23,$H$9))/('Offload Refs'!$B$23*1000000000)*1000</f>
        <v>6.1341695999999999</v>
      </c>
      <c r="H23" s="12">
        <f>$H$14*($H$7*A23+$H$8*MIN(A23,$H$9))/('Offload Refs'!$B$24*1000000000)*1000</f>
        <v>21.907748571428574</v>
      </c>
      <c r="I23" s="12">
        <f>$H$14*($H$7*A23+$H$8*MIN(A23,$H$9))/('Offload Refs'!$B$25*1000000000)*1000</f>
        <v>7.6677119999999999</v>
      </c>
      <c r="J23" s="33">
        <f>$H$14*($H$7*A23+$H$8*MIN(A23,$H$9))/('Offload Refs'!$B$26*1000000000)*1000</f>
        <v>5.5765178181818182</v>
      </c>
    </row>
    <row r="24" spans="1:10" x14ac:dyDescent="0.25">
      <c r="A24" s="31">
        <v>16384</v>
      </c>
      <c r="B24" s="32">
        <f>$H$14*($H$7*A24+$H$8*MIN(A24,$H$9))/1073741824</f>
        <v>0.56689453125</v>
      </c>
      <c r="C24" s="12">
        <f>(2*$H$5*1000000000*A24+4*$C$9*$H$13*($H$7*A24^2+$H$8*A24*MIN(A24,$H$9)))/1000000000000</f>
        <v>207.008456245248</v>
      </c>
      <c r="D24" s="7">
        <f>(2*$H$5*1000000000*A24+4*$C$9*$H$13*($H$7*A24^2+$H$8*A24*MIN(A24,$H$9)))/('Offload Refs'!$B$30*$C$8*1000000000000)*1000</f>
        <v>1880.1857969595642</v>
      </c>
      <c r="E24" s="7">
        <f>(2*$H$5*1000000000*A24+4*$C$9*$H$13*($H$7*A24^2+$H$8*A24*MIN(A24,$H$9)))/('Offload Refs'!$B$31*$C$8*1000000000000)*1000</f>
        <v>575.02348957013339</v>
      </c>
      <c r="F24" s="33">
        <f>$H$14*($H$7*A24+$H$8*MIN(A24,$H$9))/('Offload Refs'!$B$22*1000000000)*1000</f>
        <v>1.0144972800000001</v>
      </c>
      <c r="G24" s="33">
        <f>$H$14*($H$7*A24+$H$8*MIN(A24,$H$9))/('Offload Refs'!$B$23*1000000000)*1000</f>
        <v>12.173967359999999</v>
      </c>
      <c r="H24" s="12">
        <f>$H$14*($H$7*A24+$H$8*MIN(A24,$H$9))/('Offload Refs'!$B$24*1000000000)*1000</f>
        <v>43.478454857142857</v>
      </c>
      <c r="I24" s="12">
        <f>$H$14*($H$7*A24+$H$8*MIN(A24,$H$9))/('Offload Refs'!$B$25*1000000000)*1000</f>
        <v>15.2174592</v>
      </c>
      <c r="J24" s="33">
        <f>$H$14*($H$7*A24+$H$8*MIN(A24,$H$9))/('Offload Refs'!$B$26*1000000000)*1000</f>
        <v>11.067243054545454</v>
      </c>
    </row>
    <row r="25" spans="1:10" x14ac:dyDescent="0.25">
      <c r="A25" s="31">
        <v>32768</v>
      </c>
      <c r="B25" s="32">
        <f>$H$14*($H$7*A25+$H$8*MIN(A25,$H$9))/1073741824</f>
        <v>1.12939453125</v>
      </c>
      <c r="C25" s="12">
        <f>(2*$H$5*1000000000*A25+4*$C$9*$H$13*($H$7*A25^2+$H$8*A25*MIN(A25,$H$9)))/1000000000000</f>
        <v>493.18174969036801</v>
      </c>
      <c r="D25" s="7">
        <f>(2*$H$5*1000000000*A25+4*$C$9*$H$13*($H$7*A25^2+$H$8*A25*MIN(A25,$H$9)))/('Offload Refs'!$B$30*$C$8*1000000000000)*1000</f>
        <v>4479.3982714838148</v>
      </c>
      <c r="E25" s="7">
        <f>(2*$H$5*1000000000*A25+4*$C$9*$H$13*($H$7*A25^2+$H$8*A25*MIN(A25,$H$9)))/('Offload Refs'!$B$31*$C$8*1000000000000)*1000</f>
        <v>1369.9493046954667</v>
      </c>
      <c r="F25" s="33">
        <f>$H$14*($H$7*A25+$H$8*MIN(A25,$H$9))/('Offload Refs'!$B$22*1000000000)*1000</f>
        <v>2.0211302399999997</v>
      </c>
      <c r="G25" s="33">
        <f>$H$14*($H$7*A25+$H$8*MIN(A25,$H$9))/('Offload Refs'!$B$23*1000000000)*1000</f>
        <v>24.25356288</v>
      </c>
      <c r="H25" s="12">
        <f>$H$14*($H$7*A25+$H$8*MIN(A25,$H$9))/('Offload Refs'!$B$24*1000000000)*1000</f>
        <v>86.619867428571425</v>
      </c>
      <c r="I25" s="12">
        <f>$H$14*($H$7*A25+$H$8*MIN(A25,$H$9))/('Offload Refs'!$B$25*1000000000)*1000</f>
        <v>30.316953600000002</v>
      </c>
      <c r="J25" s="33">
        <f>$H$14*($H$7*A25+$H$8*MIN(A25,$H$9))/('Offload Refs'!$B$26*1000000000)*1000</f>
        <v>22.048693527272725</v>
      </c>
    </row>
    <row r="26" spans="1:10" x14ac:dyDescent="0.25">
      <c r="A26" s="2" t="s">
        <v>146</v>
      </c>
    </row>
    <row r="28" spans="1:10" x14ac:dyDescent="0.25">
      <c r="A28" s="22" t="s">
        <v>147</v>
      </c>
      <c r="B28" s="23"/>
      <c r="C28" s="23"/>
      <c r="D28" s="23"/>
      <c r="E28" s="23"/>
      <c r="F28" s="23"/>
      <c r="G28" s="23"/>
      <c r="H28" s="23"/>
      <c r="I28" s="23"/>
    </row>
    <row r="29" spans="1:10" ht="24" x14ac:dyDescent="0.25">
      <c r="A29" s="9" t="s">
        <v>148</v>
      </c>
      <c r="B29" s="9" t="s">
        <v>149</v>
      </c>
      <c r="C29" s="9" t="s">
        <v>150</v>
      </c>
      <c r="D29" s="9" t="s">
        <v>151</v>
      </c>
      <c r="E29" s="9" t="s">
        <v>152</v>
      </c>
      <c r="F29" s="9" t="s">
        <v>153</v>
      </c>
      <c r="G29" s="9" t="s">
        <v>154</v>
      </c>
      <c r="H29" s="9" t="s">
        <v>155</v>
      </c>
    </row>
    <row r="30" spans="1:10" x14ac:dyDescent="0.25">
      <c r="A30" s="31">
        <f>A22</f>
        <v>4096</v>
      </c>
      <c r="B30" s="7">
        <f>(2*$H$5*1000000000*A22+4*$C$9*$H$13*($H$7*A22^2+$H$8*A22*MIN(A22,$H$9)))/($H$17*1000000000000)*1000</f>
        <v>123.14002937173333</v>
      </c>
      <c r="C30" s="33">
        <f t="shared" ref="C30:F33" si="0">F22+$J22</f>
        <v>3.0906777600000002</v>
      </c>
      <c r="D30" s="33">
        <f t="shared" si="0"/>
        <v>5.9454259199999999</v>
      </c>
      <c r="E30" s="12">
        <f t="shared" si="0"/>
        <v>13.953550628571428</v>
      </c>
      <c r="F30" s="12">
        <f t="shared" si="0"/>
        <v>6.7239936</v>
      </c>
      <c r="G30" s="33">
        <f>MIN(C30:F30)</f>
        <v>3.0906777600000002</v>
      </c>
      <c r="H30" s="34" t="str">
        <f>IF(G30&lt;B30,"OFFLOAD wins ("&amp;TEXT(B30/G30,"0.0")&amp;"x)","RECOMPUTE wins ("&amp;TEXT(G30/B30,"0.0")&amp;"x)")</f>
        <v>OFFLOAD wins (39.8x)</v>
      </c>
    </row>
    <row r="31" spans="1:10" x14ac:dyDescent="0.25">
      <c r="A31" s="31">
        <f>A23</f>
        <v>8192</v>
      </c>
      <c r="B31" s="7">
        <f>(2*$H$5*1000000000*A23+4*$C$9*$H$13*($H$7*A23^2+$H$8*A23*MIN(A23,$H$9)))/($H$17*1000000000000)*1000</f>
        <v>260.02395409066662</v>
      </c>
      <c r="C31" s="33">
        <f t="shared" si="0"/>
        <v>6.0876986181818182</v>
      </c>
      <c r="D31" s="33">
        <f t="shared" si="0"/>
        <v>11.710687418181818</v>
      </c>
      <c r="E31" s="12">
        <f t="shared" si="0"/>
        <v>27.48426638961039</v>
      </c>
      <c r="F31" s="12">
        <f t="shared" si="0"/>
        <v>13.244229818181818</v>
      </c>
      <c r="G31" s="33">
        <f>MIN(C31:F31)</f>
        <v>6.0876986181818182</v>
      </c>
      <c r="H31" s="34" t="str">
        <f>IF(G31&lt;B31,"OFFLOAD wins ("&amp;TEXT(B31/G31,"0.0")&amp;"x)","RECOMPUTE wins ("&amp;TEXT(G31/B31,"0.0")&amp;"x)")</f>
        <v>OFFLOAD wins (42.7x)</v>
      </c>
    </row>
    <row r="32" spans="1:10" x14ac:dyDescent="0.25">
      <c r="A32" s="31">
        <f>A24</f>
        <v>16384</v>
      </c>
      <c r="B32" s="7">
        <f>(2*$H$5*1000000000*A24+4*$C$9*$H$13*($H$7*A24^2+$H$8*A24*MIN(A24,$H$9)))/($H$17*1000000000000)*1000</f>
        <v>575.02348957013339</v>
      </c>
      <c r="C32" s="33">
        <f t="shared" si="0"/>
        <v>12.081740334545454</v>
      </c>
      <c r="D32" s="33">
        <f t="shared" si="0"/>
        <v>23.241210414545453</v>
      </c>
      <c r="E32" s="12">
        <f t="shared" si="0"/>
        <v>54.545697911688308</v>
      </c>
      <c r="F32" s="12">
        <f t="shared" si="0"/>
        <v>26.284702254545454</v>
      </c>
      <c r="G32" s="33">
        <f>MIN(C32:F32)</f>
        <v>12.081740334545454</v>
      </c>
      <c r="H32" s="34" t="str">
        <f>IF(G32&lt;B32,"OFFLOAD wins ("&amp;TEXT(B32/G32,"0.0")&amp;"x)","RECOMPUTE wins ("&amp;TEXT(G32/B32,"0.0")&amp;"x)")</f>
        <v>OFFLOAD wins (47.6x)</v>
      </c>
    </row>
    <row r="33" spans="1:9" x14ac:dyDescent="0.25">
      <c r="A33" s="31">
        <f>A25</f>
        <v>32768</v>
      </c>
      <c r="B33" s="7">
        <f>(2*$H$5*1000000000*A25+4*$C$9*$H$13*($H$7*A25^2+$H$8*A25*MIN(A25,$H$9)))/($H$17*1000000000000)*1000</f>
        <v>1369.9493046954667</v>
      </c>
      <c r="C33" s="33">
        <f t="shared" si="0"/>
        <v>24.069823767272723</v>
      </c>
      <c r="D33" s="33">
        <f t="shared" si="0"/>
        <v>46.302256407272722</v>
      </c>
      <c r="E33" s="12">
        <f t="shared" si="0"/>
        <v>108.66856095584416</v>
      </c>
      <c r="F33" s="12">
        <f t="shared" si="0"/>
        <v>52.365647127272723</v>
      </c>
      <c r="G33" s="33">
        <f>MIN(C33:F33)</f>
        <v>24.069823767272723</v>
      </c>
      <c r="H33" s="34" t="str">
        <f>IF(G33&lt;B33,"OFFLOAD wins ("&amp;TEXT(B33/G33,"0.0")&amp;"x)","RECOMPUTE wins ("&amp;TEXT(G33/B33,"0.0")&amp;"x)")</f>
        <v>OFFLOAD wins (56.9x)</v>
      </c>
    </row>
    <row r="36" spans="1:9" x14ac:dyDescent="0.25">
      <c r="A36" s="22" t="s">
        <v>156</v>
      </c>
      <c r="B36" s="23"/>
      <c r="C36" s="23"/>
      <c r="D36" s="23"/>
      <c r="E36" s="23"/>
      <c r="F36" s="23"/>
      <c r="G36" s="23"/>
      <c r="H36" s="23"/>
      <c r="I36" s="23"/>
    </row>
    <row r="37" spans="1:9" ht="24" x14ac:dyDescent="0.25">
      <c r="A37" s="9" t="s">
        <v>157</v>
      </c>
      <c r="B37" s="9" t="s">
        <v>158</v>
      </c>
      <c r="C37" s="9" t="s">
        <v>159</v>
      </c>
      <c r="D37" s="9" t="s">
        <v>160</v>
      </c>
      <c r="E37" s="9" t="s">
        <v>161</v>
      </c>
      <c r="F37" s="9" t="s">
        <v>162</v>
      </c>
      <c r="G37" s="9" t="s">
        <v>163</v>
      </c>
      <c r="H37" s="9" t="s">
        <v>164</v>
      </c>
      <c r="I37" s="9" t="s">
        <v>165</v>
      </c>
    </row>
    <row r="38" spans="1:9" x14ac:dyDescent="0.25">
      <c r="A38" s="19" t="s">
        <v>166</v>
      </c>
      <c r="B38" s="32">
        <f>(($H$14*($H$7*8192+$H$8*MIN(8192,$H$9)))-($H$14*($H$7*4096+$H$8*MIN(4096,$H$9))))/1073741824</f>
        <v>0.140625</v>
      </c>
      <c r="C38" s="12">
        <f>(((2*$H$5*1000000000*8192+4*$C$9*$H$13*($H$7*8192^2+$H$8*8192*MIN(8192,$H$9))))-((2*$H$5*1000000000*4096+4*$C$9*$H$13*($H$7*4096^2+$H$8*4096*MIN(4096,$H$9)))))/1000000000000</f>
        <v>49.278212898816001</v>
      </c>
      <c r="D38" s="7">
        <f>(((2*$H$5*1000000000*8192+4*$C$9*$H$13*($H$7*8192^2+$H$8*8192*MIN(8192,$H$9))))-((2*$H$5*1000000000*4096+4*$C$9*$H$13*($H$7*4096^2+$H$8*4096*MIN(4096,$H$9)))))/($H$17*1000000000000)*1000</f>
        <v>136.88392471893332</v>
      </c>
      <c r="E38" s="33">
        <f>(($H$14*($H$7*8192+$H$8*MIN(8192,$H$9)))-($H$14*($H$7*4096+$H$8*MIN(4096,$H$9))))/('Offload Refs'!$B$22*1000000000)*1000+(($H$14*($H$7*8192+$H$8*MIN(8192,$H$9)))-($H$14*($H$7*4096+$H$8*MIN(4096,$H$9))))/('Offload Refs'!$B$26*1000000000)*1000</f>
        <v>2.9970208581818181</v>
      </c>
      <c r="F38" s="33">
        <f>(($H$14*($H$7*8192+$H$8*MIN(8192,$H$9)))-($H$14*($H$7*4096+$H$8*MIN(4096,$H$9))))/('Offload Refs'!$B$23*1000000000)*1000+(($H$14*($H$7*8192+$H$8*MIN(8192,$H$9)))-($H$14*($H$7*4096+$H$8*MIN(4096,$H$9))))/('Offload Refs'!$B$26*1000000000)*1000</f>
        <v>5.7652614981818182</v>
      </c>
      <c r="G38" s="12">
        <f>(($H$14*($H$7*8192+$H$8*MIN(8192,$H$9)))-($H$14*($H$7*4096+$H$8*MIN(4096,$H$9))))/('Offload Refs'!$B$24*1000000000)*1000+(($H$14*($H$7*8192+$H$8*MIN(8192,$H$9)))-($H$14*($H$7*4096+$H$8*MIN(4096,$H$9))))/('Offload Refs'!$B$26*1000000000)*1000</f>
        <v>13.530715761038961</v>
      </c>
      <c r="H38" s="12">
        <f>(($H$14*($H$7*8192+$H$8*MIN(8192,$H$9)))-($H$14*($H$7*4096+$H$8*MIN(4096,$H$9))))/('Offload Refs'!$B$25*1000000000)*1000+(($H$14*($H$7*8192+$H$8*MIN(8192,$H$9)))-($H$14*($H$7*4096+$H$8*MIN(4096,$H$9))))/('Offload Refs'!$B$26*1000000000)*1000</f>
        <v>6.5202362181818181</v>
      </c>
      <c r="I38" s="35" t="str">
        <f>IF(MIN(E38:H38)&lt;D38,"OFFLOAD delta wins","RECOMPUTE delta wins")</f>
        <v>OFFLOAD delta wins</v>
      </c>
    </row>
    <row r="39" spans="1:9" x14ac:dyDescent="0.25">
      <c r="A39" s="19" t="s">
        <v>167</v>
      </c>
      <c r="B39" s="32">
        <f>(($H$14*($H$7*16384+$H$8*MIN(16384,$H$9)))-($H$14*($H$7*4096+$H$8*MIN(4096,$H$9))))/1073741824</f>
        <v>0.421875</v>
      </c>
      <c r="C39" s="12">
        <f>(((2*$H$5*1000000000*16384+4*$C$9*$H$13*($H$7*16384^2+$H$8*16384*MIN(16384,$H$9))))-((2*$H$5*1000000000*4096+4*$C$9*$H$13*($H$7*4096^2+$H$8*4096*MIN(4096,$H$9)))))/1000000000000</f>
        <v>162.678045671424</v>
      </c>
      <c r="D39" s="7">
        <f>(((2*$H$5*1000000000*16384+4*$C$9*$H$13*($H$7*16384^2+$H$8*16384*MIN(16384,$H$9))))-((2*$H$5*1000000000*4096+4*$C$9*$H$13*($H$7*4096^2+$H$8*4096*MIN(4096,$H$9)))))/($H$17*1000000000000)*1000</f>
        <v>451.88346019839997</v>
      </c>
      <c r="E39" s="33">
        <f>(($H$14*($H$7*16384+$H$8*MIN(16384,$H$9)))-($H$14*($H$7*4096+$H$8*MIN(4096,$H$9))))/('Offload Refs'!$B$22*1000000000)*1000+(($H$14*($H$7*16384+$H$8*MIN(16384,$H$9)))-($H$14*($H$7*4096+$H$8*MIN(4096,$H$9))))/('Offload Refs'!$B$26*1000000000)*1000</f>
        <v>8.9910625745454542</v>
      </c>
      <c r="F39" s="33">
        <f>(($H$14*($H$7*16384+$H$8*MIN(16384,$H$9)))-($H$14*($H$7*4096+$H$8*MIN(4096,$H$9))))/('Offload Refs'!$B$23*1000000000)*1000+(($H$14*($H$7*16384+$H$8*MIN(16384,$H$9)))-($H$14*($H$7*4096+$H$8*MIN(4096,$H$9))))/('Offload Refs'!$B$26*1000000000)*1000</f>
        <v>17.295784494545455</v>
      </c>
      <c r="G39" s="12">
        <f>(($H$14*($H$7*16384+$H$8*MIN(16384,$H$9)))-($H$14*($H$7*4096+$H$8*MIN(4096,$H$9))))/('Offload Refs'!$B$24*1000000000)*1000+(($H$14*($H$7*16384+$H$8*MIN(16384,$H$9)))-($H$14*($H$7*4096+$H$8*MIN(4096,$H$9))))/('Offload Refs'!$B$26*1000000000)*1000</f>
        <v>40.59214728311688</v>
      </c>
      <c r="H39" s="12">
        <f>(($H$14*($H$7*16384+$H$8*MIN(16384,$H$9)))-($H$14*($H$7*4096+$H$8*MIN(4096,$H$9))))/('Offload Refs'!$B$25*1000000000)*1000+(($H$14*($H$7*16384+$H$8*MIN(16384,$H$9)))-($H$14*($H$7*4096+$H$8*MIN(4096,$H$9))))/('Offload Refs'!$B$26*1000000000)*1000</f>
        <v>19.560708654545454</v>
      </c>
      <c r="I39" s="35" t="str">
        <f>IF(MIN(E39:H39)&lt;D39,"OFFLOAD delta wins","RECOMPUTE delta wins")</f>
        <v>OFFLOAD delta wins</v>
      </c>
    </row>
    <row r="40" spans="1:9" x14ac:dyDescent="0.25">
      <c r="A40" s="19" t="s">
        <v>168</v>
      </c>
      <c r="B40" s="32">
        <f>(($H$14*($H$7*32768+$H$8*MIN(32768,$H$9)))-($H$14*($H$7*4096+$H$8*MIN(4096,$H$9))))/1073741824</f>
        <v>0.984375</v>
      </c>
      <c r="C40" s="12">
        <f>(((2*$H$5*1000000000*32768+4*$C$9*$H$13*($H$7*32768^2+$H$8*32768*MIN(32768,$H$9))))-((2*$H$5*1000000000*4096+4*$C$9*$H$13*($H$7*4096^2+$H$8*4096*MIN(4096,$H$9)))))/1000000000000</f>
        <v>448.85133911654401</v>
      </c>
      <c r="D40" s="7">
        <f>(((2*$H$5*1000000000*32768+4*$C$9*$H$13*($H$7*32768^2+$H$8*32768*MIN(32768,$H$9))))-((2*$H$5*1000000000*4096+4*$C$9*$H$13*($H$7*4096^2+$H$8*4096*MIN(4096,$H$9)))))/($H$17*1000000000000)*1000</f>
        <v>1246.8092753237333</v>
      </c>
      <c r="E40" s="33">
        <f>(($H$14*($H$7*32768+$H$8*MIN(32768,$H$9)))-($H$14*($H$7*4096+$H$8*MIN(4096,$H$9))))/('Offload Refs'!$B$22*1000000000)*1000+(($H$14*($H$7*32768+$H$8*MIN(32768,$H$9)))-($H$14*($H$7*4096+$H$8*MIN(4096,$H$9))))/('Offload Refs'!$B$26*1000000000)*1000</f>
        <v>20.979146007272725</v>
      </c>
      <c r="F40" s="33">
        <f>(($H$14*($H$7*32768+$H$8*MIN(32768,$H$9)))-($H$14*($H$7*4096+$H$8*MIN(4096,$H$9))))/('Offload Refs'!$B$23*1000000000)*1000+(($H$14*($H$7*32768+$H$8*MIN(32768,$H$9)))-($H$14*($H$7*4096+$H$8*MIN(4096,$H$9))))/('Offload Refs'!$B$26*1000000000)*1000</f>
        <v>40.356830487272724</v>
      </c>
      <c r="G40" s="12">
        <f>(($H$14*($H$7*32768+$H$8*MIN(32768,$H$9)))-($H$14*($H$7*4096+$H$8*MIN(4096,$H$9))))/('Offload Refs'!$B$24*1000000000)*1000+(($H$14*($H$7*32768+$H$8*MIN(32768,$H$9)))-($H$14*($H$7*4096+$H$8*MIN(4096,$H$9))))/('Offload Refs'!$B$26*1000000000)*1000</f>
        <v>94.715010327272722</v>
      </c>
      <c r="H40" s="12">
        <f>(($H$14*($H$7*32768+$H$8*MIN(32768,$H$9)))-($H$14*($H$7*4096+$H$8*MIN(4096,$H$9))))/('Offload Refs'!$B$25*1000000000)*1000+(($H$14*($H$7*32768+$H$8*MIN(32768,$H$9)))-($H$14*($H$7*4096+$H$8*MIN(4096,$H$9))))/('Offload Refs'!$B$26*1000000000)*1000</f>
        <v>45.641653527272723</v>
      </c>
      <c r="I40" s="35" t="str">
        <f>IF(MIN(E40:H40)&lt;D40,"OFFLOAD delta wins","RECOMPUTE delta wins")</f>
        <v>OFFLOAD delta wins</v>
      </c>
    </row>
    <row r="43" spans="1:9" x14ac:dyDescent="0.25">
      <c r="A43" s="5" t="s">
        <v>169</v>
      </c>
    </row>
    <row r="44" spans="1:9" x14ac:dyDescent="0.25">
      <c r="A44" s="2" t="s">
        <v>170</v>
      </c>
    </row>
    <row r="45" spans="1:9" x14ac:dyDescent="0.25">
      <c r="A45" s="2" t="s">
        <v>171</v>
      </c>
    </row>
    <row r="46" spans="1:9" x14ac:dyDescent="0.25">
      <c r="A46" s="2" t="s">
        <v>172</v>
      </c>
    </row>
    <row r="47" spans="1:9" x14ac:dyDescent="0.25">
      <c r="A47" s="2" t="s">
        <v>173</v>
      </c>
    </row>
    <row r="48" spans="1:9" x14ac:dyDescent="0.25">
      <c r="A48" s="2" t="s">
        <v>174</v>
      </c>
    </row>
    <row r="49" spans="1:1" x14ac:dyDescent="0.25">
      <c r="A49" s="2" t="s">
        <v>175</v>
      </c>
    </row>
    <row r="50" spans="1:1" x14ac:dyDescent="0.25">
      <c r="A50" s="2" t="s">
        <v>176</v>
      </c>
    </row>
    <row r="51" spans="1:1" x14ac:dyDescent="0.25">
      <c r="A51" s="2" t="s">
        <v>177</v>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xr:uid="{00000000-0002-0000-0400-000000000000}">
          <x14:formula1>
            <xm:f>'Offload Refs'!$A$6:$A$18</xm:f>
          </x14:formula1>
          <x14:formula2>
            <xm:f>0</xm:f>
          </x14:formula2>
          <xm:sqref>C5</xm:sqref>
        </x14:dataValidation>
        <x14:dataValidation type="list" xr:uid="{00000000-0002-0000-0400-000001000000}">
          <x14:formula1>
            <xm:f>'Offload Refs'!$A$30:$A$31</xm:f>
          </x14:formula1>
          <x14:formula2>
            <xm:f>0</xm:f>
          </x14:formula2>
          <xm:sqref>C6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Cards</vt:lpstr>
      <vt:lpstr>Method &amp; Legend</vt:lpstr>
      <vt:lpstr>Offload Refs</vt:lpstr>
      <vt:lpstr>Offload vs Recompute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Kulkarni, Anand</cp:lastModifiedBy>
  <cp:revision>0</cp:revision>
  <dcterms:created xsi:type="dcterms:W3CDTF">2026-08-11T02:53:20Z</dcterms:created>
  <dcterms:modified xsi:type="dcterms:W3CDTF">2026-08-17T04:46:57Z</dcterms:modified>
  <dc:language>en-US</dc:language>
</cp:coreProperties>
</file>