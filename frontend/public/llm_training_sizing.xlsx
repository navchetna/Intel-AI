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z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<sst xmlns="http://schemas.openxmlformats.org/spreadsheetml/2006/main" count="373" uniqueCount="274">
  <si>
    <t xml:space="preserve">LLM Pretraining Sizing Sheet — Architecture-Aware</t>
  </si>
  <si>
    <t xml:space="preserve">Set the amber CONFIGURATION choices first — they switch the compute, memory, parallelism and comms model. Yellow = numeric inputs. Green = outputs. ⚠ = verify before external use.</t>
  </si>
  <si>
    <t xml:space="preserve">0  ·  CONFIGURATION — SET THESE FIRST  (these choices drive the whole sheet)</t>
  </si>
  <si>
    <t xml:space="preserve">Parameter</t>
  </si>
  <si>
    <t xml:space="preserve">Value</t>
  </si>
  <si>
    <t xml:space="preserve">Unit</t>
  </si>
  <si>
    <t xml:space="preserve">Basis / Notes</t>
  </si>
  <si>
    <t xml:space="preserve">Parameter activation</t>
  </si>
  <si>
    <t xml:space="preserve">Dense</t>
  </si>
  <si>
    <t xml:space="preserve">axis</t>
  </si>
  <si>
    <t xml:space="preserve">Dense = all params active.  MoE = compute on activated params, memory on total, adds Expert-Parallel all-to-all.</t>
  </si>
  <si>
    <t xml:space="preserve">Sequence mixer</t>
  </si>
  <si>
    <t xml:space="preserve">Attention</t>
  </si>
  <si>
    <t xml:space="preserve">Attention = O(seq²) term applies.  Hybrid-SSM = mostly linear-in-seq layers; quadratic term shrinks; custom-kernel MFU derate.</t>
  </si>
  <si>
    <t xml:space="preserve">Modality</t>
  </si>
  <si>
    <t xml:space="preserve">Text</t>
  </si>
  <si>
    <t xml:space="preserve">Text = tokens are text only.  Multi-modal = adds encoder FLOPs + visual tokens; activation &amp; data-pipeline pressure.</t>
  </si>
  <si>
    <t xml:space="preserve">Compute precision</t>
  </si>
  <si>
    <t xml:space="preserve">BF16</t>
  </si>
  <si>
    <t xml:space="preserve">BF16 or FP8 tensor-core path. Affects peak &amp; MFU only; optimizer state stays mixed-precision.</t>
  </si>
  <si>
    <t xml:space="preserve">Optimizer</t>
  </si>
  <si>
    <t xml:space="preserve">Muon</t>
  </si>
  <si>
    <t xml:space="preserve">AdamW (18 B/param) or Muon (14 B/param + token-efficiency credit). Muon needs QK-Clip at scale.</t>
  </si>
  <si>
    <t xml:space="preserve">Hardware platform</t>
  </si>
  <si>
    <t xml:space="preserve">DGX B300</t>
  </si>
  <si>
    <t xml:space="preserve">DGX B300 = 8-GPU NVLink domain (TP≤8, EP crosses IB).  GB300 NVL72 = 72-GPU NVLink domain.</t>
  </si>
  <si>
    <t xml:space="preserve">1  ·  MODEL &amp; TRAINING INPUTS</t>
  </si>
  <si>
    <t xml:space="preserve">Total parameters</t>
  </si>
  <si>
    <t xml:space="preserve">B</t>
  </si>
  <si>
    <t xml:space="preserve">All weights stored + optimized. For MoE this is every expert (memory driver).</t>
  </si>
  <si>
    <t xml:space="preserve">Activated parameters (MoE)</t>
  </si>
  <si>
    <t xml:space="preserve">Params in the forward pass per token. MoE only; ignored when activation=Dense.</t>
  </si>
  <si>
    <t xml:space="preserve">Encoder parameters (multi-modal)</t>
  </si>
  <si>
    <t xml:space="preserve">Vision/audio encoder params. Multi-modal only; small in params, large in activations.</t>
  </si>
  <si>
    <t xml:space="preserve">Training tokens</t>
  </si>
  <si>
    <t xml:space="preserve">T</t>
  </si>
  <si>
    <t xml:space="preserve">Total LLM tokens (text + visual). Chinchilla-optimal ~2.4T for 120B dense.</t>
  </si>
  <si>
    <t xml:space="preserve">Visual-token fraction</t>
  </si>
  <si>
    <t xml:space="preserve">%</t>
  </si>
  <si>
    <t xml:space="preserve">Share of tokens that are visual (drives encoder load). Multi-modal only.</t>
  </si>
  <si>
    <t xml:space="preserve">Sequence length</t>
  </si>
  <si>
    <t xml:space="preserve">tokens</t>
  </si>
  <si>
    <t xml:space="preserve">Context window. Drives the O(seq²) attention term and activation footprint.</t>
  </si>
  <si>
    <t xml:space="preserve">Global batch size</t>
  </si>
  <si>
    <t xml:space="preserve">M tok</t>
  </si>
  <si>
    <t xml:space="preserve">Tokens per optimizer step. Larger = easier to overlap comms.</t>
  </si>
  <si>
    <t xml:space="preserve">Total layers</t>
  </si>
  <si>
    <t xml:space="preserve">layers</t>
  </si>
  <si>
    <t xml:space="preserve">Transformer blocks.</t>
  </si>
  <si>
    <t xml:space="preserve">Attention layers</t>
  </si>
  <si>
    <t xml:space="preserve">Layers using softmax attention. Pure attention = total; Hybrid-SSM = a small subset.</t>
  </si>
  <si>
    <t xml:space="preserve">MoE layers</t>
  </si>
  <si>
    <t xml:space="preserve">Layers with expert routing (drives all-to-all volume). Dense = 0.</t>
  </si>
  <si>
    <t xml:space="preserve">Hidden size</t>
  </si>
  <si>
    <t xml:space="preserve">dim</t>
  </si>
  <si>
    <t xml:space="preserve">Model width.</t>
  </si>
  <si>
    <t xml:space="preserve">Micro-batch (seqs / GPU)</t>
  </si>
  <si>
    <t xml:space="preserve">seqs</t>
  </si>
  <si>
    <t xml:space="preserve">Keep small; use many micro-batches to hide the PP bubble.</t>
  </si>
  <si>
    <t xml:space="preserve">Recompute overhead</t>
  </si>
  <si>
    <t xml:space="preserve">×</t>
  </si>
  <si>
    <t xml:space="preserve">Activation-checkpoint FLOP tax. 1.0 none / 1.2 selective / 1.33 full.</t>
  </si>
  <si>
    <t xml:space="preserve">Activation mult / layer</t>
  </si>
  <si>
    <t xml:space="preserve">⚠ Planning coefficient: act bytes = mbs·seq·hidden·2·mult. Calibrate to a real profile.</t>
  </si>
  <si>
    <t xml:space="preserve">Multi-modal activation factor</t>
  </si>
  <si>
    <t xml:space="preserve">Extra activation pressure from encoders/high-res inputs. 1 for text; ~2–3 for multi-modal.</t>
  </si>
  <si>
    <t xml:space="preserve">Muon token-efficiency factor</t>
  </si>
  <si>
    <t xml:space="preserve">⚠ Planning assumption. 1.3–1.6 when overtraining; ≈2 only at compute-optimal. 1.0 disables.</t>
  </si>
  <si>
    <t xml:space="preserve">2  ·  MoE PARAMETERS  (used only when activation = MoE)</t>
  </si>
  <si>
    <t xml:space="preserve">Number of experts</t>
  </si>
  <si>
    <t xml:space="preserve">experts</t>
  </si>
  <si>
    <t xml:space="preserve">Total routed experts per MoE layer.</t>
  </si>
  <si>
    <t xml:space="preserve">Top-k (experts / token)</t>
  </si>
  <si>
    <t xml:space="preserve">Experts each token is routed to.</t>
  </si>
  <si>
    <t xml:space="preserve">Capacity factor</t>
  </si>
  <si>
    <t xml:space="preserve">Buffer for load imbalance. &gt;1 wastes compute on padding; drives all-to-all volume.</t>
  </si>
  <si>
    <t xml:space="preserve">MoE efficiency derate</t>
  </si>
  <si>
    <t xml:space="preserve">Effective-MFU haircut for capacity/imbalance/router overhead. Applied only when MoE.</t>
  </si>
  <si>
    <t xml:space="preserve">SSM kernel derate</t>
  </si>
  <si>
    <t xml:space="preserve">Effective-MFU haircut for selective-scan kernels. Applied only when Hybrid-SSM.</t>
  </si>
  <si>
    <t xml:space="preserve">3  ·  HARDWARE PLATFORM</t>
  </si>
  <si>
    <t xml:space="preserve">NVLink domain size</t>
  </si>
  <si>
    <t xml:space="preserve">GPUs</t>
  </si>
  <si>
    <t xml:space="preserve">GPUs on one NVLink fabric. TP (and ideally EP) must stay inside this.</t>
  </si>
  <si>
    <t xml:space="preserve">Physical GPUs / node</t>
  </si>
  <si>
    <t xml:space="preserve">DGX B300 chassis = 8× Blackwell Ultra + 2× Intel Xeon 6776P host.</t>
  </si>
  <si>
    <t xml:space="preserve">HBM per GPU</t>
  </si>
  <si>
    <t xml:space="preserve">GB</t>
  </si>
  <si>
    <t xml:space="preserve">Blackwell Ultra HBM3e, 8 TB/s. Node = 2.3 TB.</t>
  </si>
  <si>
    <t xml:space="preserve">GPU TDP</t>
  </si>
  <si>
    <t xml:space="preserve">W</t>
  </si>
  <si>
    <t xml:space="preserve">~1.4 kW. Liquid/RDHx cooling required.</t>
  </si>
  <si>
    <t xml:space="preserve">Dense peak — BF16</t>
  </si>
  <si>
    <t xml:space="preserve">PF/GPU</t>
  </si>
  <si>
    <t xml:space="preserve">⚠ Verify vs HGX/DGX B300 datasheet.</t>
  </si>
  <si>
    <t xml:space="preserve">Dense peak — FP8</t>
  </si>
  <si>
    <t xml:space="preserve">⚠ Verify. ~5 PF dense (NVL72 360 PF FP8 / 72). Not 70 PF/node (sparse).</t>
  </si>
  <si>
    <t xml:space="preserve">Achieved MFU (base)</t>
  </si>
  <si>
    <t xml:space="preserve">Before architecture derates. DGX B300: derate vs NVL72 (PP+DP share NICs).</t>
  </si>
  <si>
    <t xml:space="preserve">Scale-out BW / GPU</t>
  </si>
  <si>
    <t xml:space="preserve">GB/s</t>
  </si>
  <si>
    <t xml:space="preserve">ConnectX-8 800 Gb/s. Carries PP + DP + (MoE) all-to-all when it crosses nodes.</t>
  </si>
  <si>
    <t xml:space="preserve">NVLink BW / GPU</t>
  </si>
  <si>
    <t xml:space="preserve">NVLink5 per-GPU (~1.8 TB/s bidir). Used for all-to-all when EP stays in the NVLink domain.</t>
  </si>
  <si>
    <t xml:space="preserve">Facility power overhead</t>
  </si>
  <si>
    <t xml:space="preserve">Multiplier over GPU-only for cooling, host, fabric, storage, PSU loss.</t>
  </si>
  <si>
    <t xml:space="preserve">4  ·  PARALLELISM PLAN</t>
  </si>
  <si>
    <t xml:space="preserve">Total GPUs</t>
  </si>
  <si>
    <t xml:space="preserve">Cluster committed to the run.</t>
  </si>
  <si>
    <t xml:space="preserve">Tensor parallel (TP)</t>
  </si>
  <si>
    <t xml:space="preserve">way</t>
  </si>
  <si>
    <t xml:space="preserve">Intra-node only. Must be ≤ NVLink domain.</t>
  </si>
  <si>
    <t xml:space="preserve">Pipeline parallel (PP)</t>
  </si>
  <si>
    <t xml:space="preserve">Across nodes. Needs ≥ PP×4 micro-batches; interleaved 1F1B.</t>
  </si>
  <si>
    <t xml:space="preserve">Context parallel (CP)</t>
  </si>
  <si>
    <t xml:space="preserve">Raise for long sequences (ring attention).</t>
  </si>
  <si>
    <t xml:space="preserve">Expert parallel (EP)</t>
  </si>
  <si>
    <t xml:space="preserve">MoE only. Spreads experts; introduces all-to-all. Keep ≤ NVLink domain if you can.</t>
  </si>
  <si>
    <t xml:space="preserve">Data parallel (DP)</t>
  </si>
  <si>
    <t xml:space="preserve">Derived. ZeRO-1 optimizer sharded across this.</t>
  </si>
  <si>
    <t xml:space="preserve">Nodes</t>
  </si>
  <si>
    <t xml:space="preserve">nodes</t>
  </si>
  <si>
    <t xml:space="preserve">Total GPUs / GPUs per node.</t>
  </si>
  <si>
    <t xml:space="preserve">GPUs / replica</t>
  </si>
  <si>
    <t xml:space="preserve">One full model copy.</t>
  </si>
  <si>
    <t xml:space="preserve">TP within NVLink domain?</t>
  </si>
  <si>
    <t xml:space="preserve">TP crossing IB collapses MFU.</t>
  </si>
  <si>
    <t xml:space="preserve">EP within NVLink domain?</t>
  </si>
  <si>
    <t xml:space="preserve">The defining DGX-B300 MoE risk: EP&gt;8 pushes all-to-all onto InfiniBand.</t>
  </si>
  <si>
    <t xml:space="preserve">GPU count consistent?</t>
  </si>
  <si>
    <t xml:space="preserve">Must divide evenly.</t>
  </si>
  <si>
    <t xml:space="preserve">5  ·  COMPUTE SIZING  (architecture-aware)</t>
  </si>
  <si>
    <t xml:space="preserve">Active params (effective)</t>
  </si>
  <si>
    <t xml:space="preserve">MoE ⇒ activated; else total. Drives the 6·N·D term.</t>
  </si>
  <si>
    <t xml:space="preserve">Attention-layer fraction</t>
  </si>
  <si>
    <t xml:space="preserve">Share of layers doing softmax attention. Scales the O(seq²) term.</t>
  </si>
  <si>
    <t xml:space="preserve">Attention (seq²) correction</t>
  </si>
  <si>
    <t xml:space="preserve">seq/(6·hidden)·attn-fraction. ~11% at 8k/12288; dominant at long context; small for Hybrid-SSM.</t>
  </si>
  <si>
    <t xml:space="preserve">Effective MFU</t>
  </si>
  <si>
    <t xml:space="preserve">Base MFU × MoE derate (if MoE) × SSM derate (if Hybrid).</t>
  </si>
  <si>
    <t xml:space="preserve">Effective peak / GPU</t>
  </si>
  <si>
    <t xml:space="preserve">PF</t>
  </si>
  <si>
    <t xml:space="preserve">By precision toggle.</t>
  </si>
  <si>
    <t xml:space="preserve">Effective throughput / GPU</t>
  </si>
  <si>
    <t xml:space="preserve">Peak × effective MFU.</t>
  </si>
  <si>
    <t xml:space="preserve">Cluster throughput</t>
  </si>
  <si>
    <t xml:space="preserve">Aggregate sustained FLOP/s.</t>
  </si>
  <si>
    <t xml:space="preserve">LLM FLOPs</t>
  </si>
  <si>
    <t xml:space="preserve">FLOP</t>
  </si>
  <si>
    <t xml:space="preserve">6·N_active·D·(1+attn correction).</t>
  </si>
  <si>
    <t xml:space="preserve">Encoder FLOPs (multi-modal)</t>
  </si>
  <si>
    <t xml:space="preserve">6·N_enc·(visual tokens). Zero for text.</t>
  </si>
  <si>
    <t xml:space="preserve">Total training FLOPs</t>
  </si>
  <si>
    <t xml:space="preserve">(LLM + encoder) × recompute.</t>
  </si>
  <si>
    <t xml:space="preserve">Training time (raw)</t>
  </si>
  <si>
    <t xml:space="preserve">days</t>
  </si>
  <si>
    <t xml:space="preserve">Wall-clock before optimizer token-efficiency credit.</t>
  </si>
  <si>
    <t xml:space="preserve">Optimizer token-eff factor</t>
  </si>
  <si>
    <t xml:space="preserve">Muon reaches target loss in fewer tokens.</t>
  </si>
  <si>
    <t xml:space="preserve">Training time (optimizer-adj)</t>
  </si>
  <si>
    <t xml:space="preserve">Planning wall-clock if using Muon.</t>
  </si>
  <si>
    <t xml:space="preserve">Compute cost</t>
  </si>
  <si>
    <t xml:space="preserve">GPU-hours</t>
  </si>
  <si>
    <t xml:space="preserve">Raw GPU-hours (billing basis).</t>
  </si>
  <si>
    <t xml:space="preserve">Step time</t>
  </si>
  <si>
    <t xml:space="preserve">s</t>
  </si>
  <si>
    <t xml:space="preserve">Seconds per optimizer step. Must exceed exposed comms.</t>
  </si>
  <si>
    <t xml:space="preserve">6  ·  MEMORY SIZING (per GPU)</t>
  </si>
  <si>
    <t xml:space="preserve">Optimizer-state bytes / param</t>
  </si>
  <si>
    <t xml:space="preserve">AdamW 2+4+4+4+4=18.  Muon 2+4+4+4=14.</t>
  </si>
  <si>
    <t xml:space="preserve">Model-shard degree</t>
  </si>
  <si>
    <t xml:space="preserve">Weights+grads spread across TP×PP×EP (EP spreads experts).</t>
  </si>
  <si>
    <t xml:space="preserve">Weights+grads / GPU</t>
  </si>
  <si>
    <t xml:space="preserve">6 B/param (bf16 w + fp32 grad) over model-shard degree.</t>
  </si>
  <si>
    <t xml:space="preserve">Optimizer state / GPU</t>
  </si>
  <si>
    <t xml:space="preserve">Master+moments (12 AdamW / 8 Muon). ZeRO-1: each param's state lives once, spread across the cluster.</t>
  </si>
  <si>
    <t xml:space="preserve">Static state / GPU</t>
  </si>
  <si>
    <t xml:space="preserve">Weights+grads+optimizer per GPU.</t>
  </si>
  <si>
    <t xml:space="preserve">Activations / GPU</t>
  </si>
  <si>
    <t xml:space="preserve">Peak activations; × multi-modal factor when applicable.</t>
  </si>
  <si>
    <t xml:space="preserve">Total HBM used / GPU</t>
  </si>
  <si>
    <t xml:space="preserve">Static + activations. Leave room for context/comms buffers.</t>
  </si>
  <si>
    <t xml:space="preserve">HBM headroom / GPU</t>
  </si>
  <si>
    <t xml:space="preserve">Negative ⇒ raise TP/PP/EP/DP or add nodes.</t>
  </si>
  <si>
    <t xml:space="preserve">Fits in HBM?</t>
  </si>
  <si>
    <t xml:space="preserve">Target ≤92%.</t>
  </si>
  <si>
    <t xml:space="preserve">Full model state (checkpoint)</t>
  </si>
  <si>
    <t xml:space="preserve">Total static state = checkpoint size. MoE stores ALL experts.</t>
  </si>
  <si>
    <t xml:space="preserve">7  ·  INTERCONNECT / COMMS</t>
  </si>
  <si>
    <t xml:space="preserve">Grad all-reduce / GPU / step</t>
  </si>
  <si>
    <t xml:space="preserve">Reduce-scatter+all-gather of bf16 grads on each GPU's shard across DP.</t>
  </si>
  <si>
    <t xml:space="preserve">Grad comms time / step</t>
  </si>
  <si>
    <t xml:space="preserve">If un-overlapped.</t>
  </si>
  <si>
    <t xml:space="preserve">MoE all-to-all / GPU / step</t>
  </si>
  <si>
    <t xml:space="preserve">⚠ Order-of-magnitude: dispatch+combine of token activations per MoE layer. Dense = 0.</t>
  </si>
  <si>
    <t xml:space="preserve">All-to-all time / step</t>
  </si>
  <si>
    <t xml:space="preserve">Over NVLink if EP≤domain (fast); over scale-out IB otherwise (the DGX-B300 MoE penalty).</t>
  </si>
  <si>
    <t xml:space="preserve">Total exposed comms / step</t>
  </si>
  <si>
    <t xml:space="preserve">DP grads + MoE all-to-all, un-overlapped.</t>
  </si>
  <si>
    <t xml:space="preserve">Comms / compute ratio</t>
  </si>
  <si>
    <t xml:space="preserve">Fraction of step in comms. Overlap or MFU drops.</t>
  </si>
  <si>
    <t xml:space="preserve">Overlap verdict</t>
  </si>
  <si>
    <t xml:space="preserve">Guide only. Rail-optimized IB assumed.</t>
  </si>
  <si>
    <t xml:space="preserve">Min micro-batches (PP bubble)</t>
  </si>
  <si>
    <t xml:space="preserve">µbatch</t>
  </si>
  <si>
    <t xml:space="preserve">Hold pipeline bubble &lt;~5%.</t>
  </si>
  <si>
    <t xml:space="preserve">8  ·  STORAGE &amp; CHECKPOINT</t>
  </si>
  <si>
    <t xml:space="preserve">Checkpoint size</t>
  </si>
  <si>
    <t xml:space="preserve">TB</t>
  </si>
  <si>
    <t xml:space="preserve">Weights+optimizer. Muon smaller (14 vs 18 B/param).</t>
  </si>
  <si>
    <t xml:space="preserve">Checkpoint interval</t>
  </si>
  <si>
    <t xml:space="preserve">min</t>
  </si>
  <si>
    <t xml:space="preserve">How often full state is persisted.</t>
  </si>
  <si>
    <t xml:space="preserve">Write window target</t>
  </si>
  <si>
    <t xml:space="preserve">Max stall to flush (async/distributed).</t>
  </si>
  <si>
    <t xml:space="preserve">Required checkpoint BW</t>
  </si>
  <si>
    <t xml:space="preserve">Sustained. Stage node-local NVMe, async-flush; avoid all-reduce collisions.</t>
  </si>
  <si>
    <t xml:space="preserve">Tokenized dataset</t>
  </si>
  <si>
    <t xml:space="preserve">≈2 bytes/token.</t>
  </si>
  <si>
    <t xml:space="preserve">Raw corpus multiplier</t>
  </si>
  <si>
    <t xml:space="preserve">Raw shards / tokenized. Higher for multi-modal (image/video bytes).</t>
  </si>
  <si>
    <t xml:space="preserve">Raw corpus size</t>
  </si>
  <si>
    <t xml:space="preserve">Ingest/staging capacity. Multi-modal pipelines are IO-bound.</t>
  </si>
  <si>
    <t xml:space="preserve">9  ·  POWER &amp; FACILITY</t>
  </si>
  <si>
    <t xml:space="preserve">GPU-only power</t>
  </si>
  <si>
    <t xml:space="preserve">MW</t>
  </si>
  <si>
    <t xml:space="preserve">Total GPUs × TDP.</t>
  </si>
  <si>
    <t xml:space="preserve">Facility power</t>
  </si>
  <si>
    <t xml:space="preserve">Incl. cooling/host/fabric/storage/PSU.</t>
  </si>
  <si>
    <t xml:space="preserve">Power / node</t>
  </si>
  <si>
    <t xml:space="preserve">kW</t>
  </si>
  <si>
    <t xml:space="preserve">Per DGX B300 chassis, facility-level.</t>
  </si>
  <si>
    <t xml:space="preserve">Cooling</t>
  </si>
  <si>
    <t xml:space="preserve">1.4 kW/GPU exceeds air cooling.</t>
  </si>
  <si>
    <t xml:space="preserve">10  ·  SUMMARY &amp; RECOMMENDED CONFIG</t>
  </si>
  <si>
    <t xml:space="preserve">Binding constraint (est.)</t>
  </si>
  <si>
    <t xml:space="preserve">Which of the four drivers binds, given the current selections.</t>
  </si>
  <si>
    <t xml:space="preserve">Fits check</t>
  </si>
  <si>
    <t xml:space="preserve">TP/GPU-count/memory checks combined.</t>
  </si>
  <si>
    <t xml:space="preserve">Parallelism</t>
  </si>
  <si>
    <t xml:space="preserve">TP=8 · PP=4 · CP=1 · DP=rest</t>
  </si>
  <si>
    <t xml:space="preserve">TP intra-node (NVLink5); PP across nodes with interleaved VPP. For MoE add EP and keep EP≤8 on DGX B300, else all-to-all crosses IB.</t>
  </si>
  <si>
    <t xml:space="preserve">Micro-batches</t>
  </si>
  <si>
    <t xml:space="preserve">m ≥ 16</t>
  </si>
  <si>
    <t xml:space="preserve">Holds pipeline bubble &lt;~5%.</t>
  </si>
  <si>
    <t xml:space="preserve">Global batch</t>
  </si>
  <si>
    <t xml:space="preserve">8–16M tokens</t>
  </si>
  <si>
    <t xml:space="preserve">Long enough steps to overlap DP all-reduce (+ MoE all-to-all).</t>
  </si>
  <si>
    <t xml:space="preserve">Precision</t>
  </si>
  <si>
    <t xml:space="preserve">BF16 → FP8 once stable</t>
  </si>
  <si>
    <t xml:space="preserve">TE FP8 after loss settles.</t>
  </si>
  <si>
    <t xml:space="preserve">Muon (hybrid) + QK-Clip</t>
  </si>
  <si>
    <t xml:space="preserve">Muon on 2D weights, AdamW on embeddings/norms/bias. If attention is MLA, QK-Norm is out ⇒ QK-Clip. Fallback: AdamW + distributed optimizer.</t>
  </si>
  <si>
    <t xml:space="preserve">MoE</t>
  </si>
  <si>
    <t xml:space="preserve">EP on NVLink, capacity 1.25, aux-loss-free routing</t>
  </si>
  <si>
    <t xml:space="preserve">Prefer GB300 NVL72 if EP must exceed 8. Watch expert imbalance.</t>
  </si>
  <si>
    <t xml:space="preserve">Hybrid-SSM</t>
  </si>
  <si>
    <t xml:space="preserve">Custom scan kernels; expect lower MFU</t>
  </si>
  <si>
    <t xml:space="preserve">⚠ Recipes less battle-tested; do not assume dense hyperparameters transfer.</t>
  </si>
  <si>
    <t xml:space="preserve">Multi-modal</t>
  </si>
  <si>
    <t xml:space="preserve">Aspect-ratio bucketing; scale data pipeline</t>
  </si>
  <si>
    <t xml:space="preserve">Encoder activations + image/video decode make host (Xeon 6776P) and storage the bottleneck, not FLOPs.</t>
  </si>
  <si>
    <t xml:space="preserve">Checkpoint</t>
  </si>
  <si>
    <t xml:space="preserve">Async / distributed, node-local NVMe stage</t>
  </si>
  <si>
    <t xml:space="preserve">Muon state ~22% smaller than AdamW.</t>
  </si>
  <si>
    <t xml:space="preserve">11  ·  VERIFY BEFORE EXTERNAL USE / SCOPE NOTES</t>
  </si>
  <si>
    <t xml:space="preserve">⚠  B300 dense peaks (BF16 2.5 / FP8 5 PF) are datasheet-derived — confirm vs HGX/DGX B300. 'DGX B300 = 70 PF training' is FP8 sparse, not a dense planning number.</t>
  </si>
  <si>
    <t xml:space="preserve">⚠  Muon speedup is a planning assumption (1.3–1.6× overtraining; ≈2× only compute-optimal). Do NOT assert 2× externally. LR does NOT transfer 1:1 from AdamW — run a 1–3B bake-off.</t>
  </si>
  <si>
    <t xml:space="preserve">⚠  MoE all-to-all and activation figures are order-of-magnitude — calibrate against a real profile before committing parallelism.</t>
  </si>
  <si>
    <t xml:space="preserve">•  Selectors compose: a model can be MoE + Hybrid-SSM + Multi-modal at once. Set all three axes independently.</t>
  </si>
  <si>
    <t xml:space="preserve">•  Memory uses mixed-precision state regardless of the compute-precision toggle; FP8 changes throughput, not the state footprint here.</t>
  </si>
  <si>
    <t xml:space="preserve">•  MoE stores/optimizes ALL experts (memory on total params) while computing on activated params — the two decouple. EP&gt;NVLink domain is the key DGX-B300 penalty.</t>
  </si>
  <si>
    <t xml:space="preserve">•  Hybrid-SSM shrinks the O(seq²) term via the attention-layer fraction; the recurrent-state memory model is simplified here.</t>
  </si>
  <si>
    <t xml:space="preserve">•  OUT OF SCOPE — this sheet is pretraining/SFT only. RL / post-training (rollout + train two-cluster) and diffusion/generative regimes need separate sizing sheets; their compute is not 6·N·D.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</si>
</sst>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#,##0.0"/>
    <numFmt numFmtId="167" formatCode="0%"/>
    <numFmt numFmtId="168" formatCode="0.00"/>
    <numFmt numFmtId="169" formatCode="0.0"/>
    <numFmt numFmtId="170" formatCode="0.0%"/>
    <numFmt numFmtId="171" formatCode="0.000"/>
    <numFmt numFmtId="172" formatCode="0.00E+00"/>
    <numFmt numFmtId="173" formatCode="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D9D9D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7F600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2E5496"/>
      </patternFill>
    </fill>
    <fill>
      <patternFill patternType="solid">
        <fgColor rgb="FFBF8F00"/>
        <bgColor rgb="FFFF6600"/>
      </patternFill>
    </fill>
    <fill>
      <patternFill patternType="solid">
        <fgColor rgb="FF44546A"/>
        <bgColor rgb="FF595959"/>
      </patternFill>
    </fill>
    <fill>
      <patternFill patternType="solid">
        <fgColor rgb="FFFFD966"/>
        <bgColor rgb="FFFFFF99"/>
      </patternFill>
    </fill>
    <fill>
      <patternFill patternType="solid">
        <fgColor rgb="FF2E5496"/>
        <bgColor rgb="FF44546A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7F6000"/>
      </left>
      <right style="medium">
        <color rgb="FF7F6000"/>
      </right>
      <top style="medium">
        <color rgb="FF7F6000"/>
      </top>
      <bottom style="medium">
        <color rgb="FF7F6000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44546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6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</row>
    <row r="2" customFormat="false" ht="27.75" hidden="false" customHeight="true" outlineLevel="0" collapsed="false">
      <c r="A2" s="2" t="s">
        <v>1</v>
      </c>
      <c r="B2" s="2"/>
      <c r="C2" s="2"/>
      <c r="D2" s="2"/>
    </row>
    <row r="4" customFormat="false" ht="19.5" hidden="false" customHeight="true" outlineLevel="0" collapsed="false">
      <c r="A4" s="3" t="s">
        <v>2</v>
      </c>
      <c r="B4" s="3"/>
      <c r="C4" s="3"/>
      <c r="D4" s="3"/>
    </row>
    <row r="5" customFormat="false" ht="15" hidden="false" customHeight="false" outlineLevel="0" collapsed="false">
      <c r="A5" s="4" t="s">
        <v>3</v>
      </c>
      <c r="B5" s="5" t="s">
        <v>4</v>
      </c>
      <c r="C5" s="5" t="s">
        <v>5</v>
      </c>
      <c r="D5" s="4" t="s">
        <v>6</v>
      </c>
    </row>
    <row r="6" customFormat="false" ht="22.35" hidden="false" customHeight="false" outlineLevel="0" collapsed="false">
      <c r="A6" s="6" t="s">
        <v>7</v>
      </c>
      <c r="B6" s="7" t="s">
        <v>8</v>
      </c>
      <c r="C6" s="8" t="s">
        <v>9</v>
      </c>
      <c r="D6" s="9" t="s">
        <v>10</v>
      </c>
    </row>
    <row r="7" customFormat="false" ht="22.35" hidden="false" customHeight="false" outlineLevel="0" collapsed="false">
      <c r="A7" s="6" t="s">
        <v>11</v>
      </c>
      <c r="B7" s="7" t="s">
        <v>12</v>
      </c>
      <c r="C7" s="8" t="s">
        <v>9</v>
      </c>
      <c r="D7" s="9" t="s">
        <v>13</v>
      </c>
    </row>
    <row r="8" customFormat="false" ht="22.35" hidden="false" customHeight="false" outlineLevel="0" collapsed="false">
      <c r="A8" s="6" t="s">
        <v>14</v>
      </c>
      <c r="B8" s="7" t="s">
        <v>15</v>
      </c>
      <c r="C8" s="8" t="s">
        <v>9</v>
      </c>
      <c r="D8" s="9" t="s">
        <v>16</v>
      </c>
    </row>
    <row r="9" customFormat="false" ht="22.35" hidden="false" customHeight="false" outlineLevel="0" collapsed="false">
      <c r="A9" s="6" t="s">
        <v>17</v>
      </c>
      <c r="B9" s="7" t="s">
        <v>18</v>
      </c>
      <c r="C9" s="8" t="s">
        <v>9</v>
      </c>
      <c r="D9" s="9" t="s">
        <v>19</v>
      </c>
    </row>
    <row r="10" customFormat="false" ht="22.35" hidden="false" customHeight="false" outlineLevel="0" collapsed="false">
      <c r="A10" s="6" t="s">
        <v>20</v>
      </c>
      <c r="B10" s="7" t="s">
        <v>21</v>
      </c>
      <c r="C10" s="8" t="s">
        <v>9</v>
      </c>
      <c r="D10" s="9" t="s">
        <v>22</v>
      </c>
    </row>
    <row r="11" customFormat="false" ht="22.35" hidden="false" customHeight="false" outlineLevel="0" collapsed="false">
      <c r="A11" s="6" t="s">
        <v>23</v>
      </c>
      <c r="B11" s="7" t="s">
        <v>24</v>
      </c>
      <c r="C11" s="8" t="s">
        <v>9</v>
      </c>
      <c r="D11" s="9" t="s">
        <v>25</v>
      </c>
    </row>
    <row r="13" customFormat="false" ht="19.5" hidden="false" customHeight="true" outlineLevel="0" collapsed="false">
      <c r="A13" s="10" t="s">
        <v>26</v>
      </c>
      <c r="B13" s="10"/>
      <c r="C13" s="10"/>
      <c r="D13" s="10"/>
    </row>
    <row r="14" customFormat="false" ht="15" hidden="false" customHeight="false" outlineLevel="0" collapsed="false">
      <c r="A14" s="4" t="s">
        <v>3</v>
      </c>
      <c r="B14" s="5" t="s">
        <v>4</v>
      </c>
      <c r="C14" s="5" t="s">
        <v>5</v>
      </c>
      <c r="D14" s="4" t="s">
        <v>6</v>
      </c>
    </row>
    <row r="15" customFormat="false" ht="15" hidden="false" customHeight="false" outlineLevel="0" collapsed="false">
      <c r="A15" s="6" t="s">
        <v>27</v>
      </c>
      <c r="B15" s="11" t="n">
        <v>120</v>
      </c>
      <c r="C15" s="8" t="s">
        <v>28</v>
      </c>
      <c r="D15" s="9" t="s">
        <v>29</v>
      </c>
    </row>
    <row r="16" customFormat="false" ht="22.35" hidden="false" customHeight="false" outlineLevel="0" collapsed="false">
      <c r="A16" s="6" t="s">
        <v>30</v>
      </c>
      <c r="B16" s="11" t="n">
        <v>120</v>
      </c>
      <c r="C16" s="8" t="s">
        <v>28</v>
      </c>
      <c r="D16" s="9" t="s">
        <v>31</v>
      </c>
    </row>
    <row r="17" customFormat="false" ht="22.35" hidden="false" customHeight="false" outlineLevel="0" collapsed="false">
      <c r="A17" s="6" t="s">
        <v>32</v>
      </c>
      <c r="B17" s="11" t="n">
        <v>0</v>
      </c>
      <c r="C17" s="8" t="s">
        <v>28</v>
      </c>
      <c r="D17" s="9" t="s">
        <v>33</v>
      </c>
    </row>
    <row r="18" customFormat="false" ht="15" hidden="false" customHeight="false" outlineLevel="0" collapsed="false">
      <c r="A18" s="6" t="s">
        <v>34</v>
      </c>
      <c r="B18" s="12" t="n">
        <v>3</v>
      </c>
      <c r="C18" s="8" t="s">
        <v>35</v>
      </c>
      <c r="D18" s="9" t="s">
        <v>36</v>
      </c>
    </row>
    <row r="19" customFormat="false" ht="15" hidden="false" customHeight="false" outlineLevel="0" collapsed="false">
      <c r="A19" s="6" t="s">
        <v>37</v>
      </c>
      <c r="B19" s="13" t="n">
        <v>0</v>
      </c>
      <c r="C19" s="8" t="s">
        <v>38</v>
      </c>
      <c r="D19" s="9" t="s">
        <v>39</v>
      </c>
    </row>
    <row r="20" customFormat="false" ht="15" hidden="false" customHeight="false" outlineLevel="0" collapsed="false">
      <c r="A20" s="6" t="s">
        <v>40</v>
      </c>
      <c r="B20" s="11" t="n">
        <v>8192</v>
      </c>
      <c r="C20" s="8" t="s">
        <v>41</v>
      </c>
      <c r="D20" s="9" t="s">
        <v>42</v>
      </c>
    </row>
    <row r="21" customFormat="false" ht="15" hidden="false" customHeight="false" outlineLevel="0" collapsed="false">
      <c r="A21" s="6" t="s">
        <v>43</v>
      </c>
      <c r="B21" s="12" t="n">
        <v>8</v>
      </c>
      <c r="C21" s="8" t="s">
        <v>44</v>
      </c>
      <c r="D21" s="9" t="s">
        <v>45</v>
      </c>
    </row>
    <row r="22" customFormat="false" ht="15" hidden="false" customHeight="false" outlineLevel="0" collapsed="false">
      <c r="A22" s="6" t="s">
        <v>46</v>
      </c>
      <c r="B22" s="11" t="n">
        <v>88</v>
      </c>
      <c r="C22" s="8" t="s">
        <v>47</v>
      </c>
      <c r="D22" s="9" t="s">
        <v>48</v>
      </c>
    </row>
    <row r="23" customFormat="false" ht="22.35" hidden="false" customHeight="false" outlineLevel="0" collapsed="false">
      <c r="A23" s="6" t="s">
        <v>49</v>
      </c>
      <c r="B23" s="11" t="n">
        <v>88</v>
      </c>
      <c r="C23" s="8" t="s">
        <v>47</v>
      </c>
      <c r="D23" s="9" t="s">
        <v>50</v>
      </c>
    </row>
    <row r="24" customFormat="false" ht="15" hidden="false" customHeight="false" outlineLevel="0" collapsed="false">
      <c r="A24" s="6" t="s">
        <v>51</v>
      </c>
      <c r="B24" s="11" t="n">
        <v>0</v>
      </c>
      <c r="C24" s="8" t="s">
        <v>47</v>
      </c>
      <c r="D24" s="9" t="s">
        <v>52</v>
      </c>
    </row>
    <row r="25" customFormat="false" ht="15" hidden="false" customHeight="false" outlineLevel="0" collapsed="false">
      <c r="A25" s="6" t="s">
        <v>53</v>
      </c>
      <c r="B25" s="11" t="n">
        <v>12288</v>
      </c>
      <c r="C25" s="8" t="s">
        <v>54</v>
      </c>
      <c r="D25" s="9" t="s">
        <v>55</v>
      </c>
    </row>
    <row r="26" customFormat="false" ht="15" hidden="false" customHeight="false" outlineLevel="0" collapsed="false">
      <c r="A26" s="6" t="s">
        <v>56</v>
      </c>
      <c r="B26" s="11" t="n">
        <v>1</v>
      </c>
      <c r="C26" s="8" t="s">
        <v>57</v>
      </c>
      <c r="D26" s="9" t="s">
        <v>58</v>
      </c>
    </row>
    <row r="27" customFormat="false" ht="15" hidden="false" customHeight="false" outlineLevel="0" collapsed="false">
      <c r="A27" s="6" t="s">
        <v>59</v>
      </c>
      <c r="B27" s="14" t="n">
        <v>1.2</v>
      </c>
      <c r="C27" s="8" t="s">
        <v>60</v>
      </c>
      <c r="D27" s="9" t="s">
        <v>61</v>
      </c>
    </row>
    <row r="28" customFormat="false" ht="22.35" hidden="false" customHeight="false" outlineLevel="0" collapsed="false">
      <c r="A28" s="6" t="s">
        <v>62</v>
      </c>
      <c r="B28" s="11" t="n">
        <v>10</v>
      </c>
      <c r="C28" s="8" t="s">
        <v>60</v>
      </c>
      <c r="D28" s="9" t="s">
        <v>63</v>
      </c>
    </row>
    <row r="29" customFormat="false" ht="22.35" hidden="false" customHeight="false" outlineLevel="0" collapsed="false">
      <c r="A29" s="6" t="s">
        <v>64</v>
      </c>
      <c r="B29" s="15" t="n">
        <v>1</v>
      </c>
      <c r="C29" s="8" t="s">
        <v>60</v>
      </c>
      <c r="D29" s="9" t="s">
        <v>65</v>
      </c>
    </row>
    <row r="30" customFormat="false" ht="22.35" hidden="false" customHeight="false" outlineLevel="0" collapsed="false">
      <c r="A30" s="6" t="s">
        <v>66</v>
      </c>
      <c r="B30" s="14" t="n">
        <v>1.45</v>
      </c>
      <c r="C30" s="8" t="s">
        <v>60</v>
      </c>
      <c r="D30" s="9" t="s">
        <v>67</v>
      </c>
    </row>
    <row r="32" customFormat="false" ht="19.5" hidden="false" customHeight="true" outlineLevel="0" collapsed="false">
      <c r="A32" s="10" t="s">
        <v>68</v>
      </c>
      <c r="B32" s="10"/>
      <c r="C32" s="10"/>
      <c r="D32" s="10"/>
    </row>
    <row r="33" customFormat="false" ht="15" hidden="false" customHeight="false" outlineLevel="0" collapsed="false">
      <c r="A33" s="4" t="s">
        <v>3</v>
      </c>
      <c r="B33" s="5" t="s">
        <v>4</v>
      </c>
      <c r="C33" s="5" t="s">
        <v>5</v>
      </c>
      <c r="D33" s="4" t="s">
        <v>6</v>
      </c>
    </row>
    <row r="34" customFormat="false" ht="15" hidden="false" customHeight="false" outlineLevel="0" collapsed="false">
      <c r="A34" s="6" t="s">
        <v>69</v>
      </c>
      <c r="B34" s="11" t="n">
        <v>1</v>
      </c>
      <c r="C34" s="8" t="s">
        <v>70</v>
      </c>
      <c r="D34" s="9" t="s">
        <v>71</v>
      </c>
    </row>
    <row r="35" customFormat="false" ht="15" hidden="false" customHeight="false" outlineLevel="0" collapsed="false">
      <c r="A35" s="6" t="s">
        <v>72</v>
      </c>
      <c r="B35" s="11" t="n">
        <v>1</v>
      </c>
      <c r="C35" s="8" t="s">
        <v>70</v>
      </c>
      <c r="D35" s="9" t="s">
        <v>73</v>
      </c>
    </row>
    <row r="36" customFormat="false" ht="22.35" hidden="false" customHeight="false" outlineLevel="0" collapsed="false">
      <c r="A36" s="6" t="s">
        <v>74</v>
      </c>
      <c r="B36" s="14" t="n">
        <v>1.25</v>
      </c>
      <c r="C36" s="8" t="s">
        <v>60</v>
      </c>
      <c r="D36" s="9" t="s">
        <v>75</v>
      </c>
    </row>
    <row r="37" customFormat="false" ht="22.35" hidden="false" customHeight="false" outlineLevel="0" collapsed="false">
      <c r="A37" s="6" t="s">
        <v>76</v>
      </c>
      <c r="B37" s="14" t="n">
        <v>0.9</v>
      </c>
      <c r="C37" s="8" t="s">
        <v>60</v>
      </c>
      <c r="D37" s="9" t="s">
        <v>77</v>
      </c>
    </row>
    <row r="38" customFormat="false" ht="22.35" hidden="false" customHeight="false" outlineLevel="0" collapsed="false">
      <c r="A38" s="6" t="s">
        <v>78</v>
      </c>
      <c r="B38" s="14" t="n">
        <v>0.9</v>
      </c>
      <c r="C38" s="8" t="s">
        <v>60</v>
      </c>
      <c r="D38" s="9" t="s">
        <v>79</v>
      </c>
    </row>
    <row r="40" customFormat="false" ht="19.5" hidden="false" customHeight="true" outlineLevel="0" collapsed="false">
      <c r="A40" s="10" t="s">
        <v>80</v>
      </c>
      <c r="B40" s="10"/>
      <c r="C40" s="10"/>
      <c r="D40" s="10"/>
    </row>
    <row r="41" customFormat="false" ht="15" hidden="false" customHeight="false" outlineLevel="0" collapsed="false">
      <c r="A41" s="4" t="s">
        <v>3</v>
      </c>
      <c r="B41" s="5" t="s">
        <v>4</v>
      </c>
      <c r="C41" s="5" t="s">
        <v>5</v>
      </c>
      <c r="D41" s="4" t="s">
        <v>6</v>
      </c>
    </row>
    <row r="42" customFormat="false" ht="15" hidden="false" customHeight="false" outlineLevel="0" collapsed="false">
      <c r="A42" s="6" t="s">
        <v>81</v>
      </c>
      <c r="B42" s="16" t="n">
        <f aca="false">IF(B11="DGX B300",8,72)</f>
        <v>8</v>
      </c>
      <c r="C42" s="8" t="s">
        <v>82</v>
      </c>
      <c r="D42" s="9" t="s">
        <v>83</v>
      </c>
    </row>
    <row r="43" customFormat="false" ht="15" hidden="false" customHeight="false" outlineLevel="0" collapsed="false">
      <c r="A43" s="6" t="s">
        <v>84</v>
      </c>
      <c r="B43" s="11" t="n">
        <v>8</v>
      </c>
      <c r="C43" s="8" t="s">
        <v>82</v>
      </c>
      <c r="D43" s="9" t="s">
        <v>85</v>
      </c>
    </row>
    <row r="44" customFormat="false" ht="15" hidden="false" customHeight="false" outlineLevel="0" collapsed="false">
      <c r="A44" s="6" t="s">
        <v>86</v>
      </c>
      <c r="B44" s="11" t="n">
        <v>288</v>
      </c>
      <c r="C44" s="8" t="s">
        <v>87</v>
      </c>
      <c r="D44" s="9" t="s">
        <v>88</v>
      </c>
    </row>
    <row r="45" customFormat="false" ht="15" hidden="false" customHeight="false" outlineLevel="0" collapsed="false">
      <c r="A45" s="6" t="s">
        <v>89</v>
      </c>
      <c r="B45" s="11" t="n">
        <v>1400</v>
      </c>
      <c r="C45" s="8" t="s">
        <v>90</v>
      </c>
      <c r="D45" s="9" t="s">
        <v>91</v>
      </c>
    </row>
    <row r="46" customFormat="false" ht="15" hidden="false" customHeight="false" outlineLevel="0" collapsed="false">
      <c r="A46" s="6" t="s">
        <v>92</v>
      </c>
      <c r="B46" s="15" t="n">
        <v>2.5</v>
      </c>
      <c r="C46" s="8" t="s">
        <v>93</v>
      </c>
      <c r="D46" s="9" t="s">
        <v>94</v>
      </c>
    </row>
    <row r="47" customFormat="false" ht="15" hidden="false" customHeight="false" outlineLevel="0" collapsed="false">
      <c r="A47" s="6" t="s">
        <v>95</v>
      </c>
      <c r="B47" s="15" t="n">
        <v>5</v>
      </c>
      <c r="C47" s="8" t="s">
        <v>93</v>
      </c>
      <c r="D47" s="9" t="s">
        <v>96</v>
      </c>
    </row>
    <row r="48" customFormat="false" ht="15" hidden="false" customHeight="false" outlineLevel="0" collapsed="false">
      <c r="A48" s="6" t="s">
        <v>97</v>
      </c>
      <c r="B48" s="13" t="n">
        <v>0.35</v>
      </c>
      <c r="C48" s="8" t="s">
        <v>38</v>
      </c>
      <c r="D48" s="9" t="s">
        <v>98</v>
      </c>
    </row>
    <row r="49" customFormat="false" ht="15" hidden="false" customHeight="false" outlineLevel="0" collapsed="false">
      <c r="A49" s="6" t="s">
        <v>99</v>
      </c>
      <c r="B49" s="11" t="n">
        <v>100</v>
      </c>
      <c r="C49" s="8" t="s">
        <v>100</v>
      </c>
      <c r="D49" s="9" t="s">
        <v>101</v>
      </c>
    </row>
    <row r="50" customFormat="false" ht="22.35" hidden="false" customHeight="false" outlineLevel="0" collapsed="false">
      <c r="A50" s="6" t="s">
        <v>102</v>
      </c>
      <c r="B50" s="11" t="n">
        <v>900</v>
      </c>
      <c r="C50" s="8" t="s">
        <v>100</v>
      </c>
      <c r="D50" s="9" t="s">
        <v>103</v>
      </c>
    </row>
    <row r="51" customFormat="false" ht="15" hidden="false" customHeight="false" outlineLevel="0" collapsed="false">
      <c r="A51" s="6" t="s">
        <v>104</v>
      </c>
      <c r="B51" s="15" t="n">
        <v>1.4</v>
      </c>
      <c r="C51" s="8" t="s">
        <v>60</v>
      </c>
      <c r="D51" s="9" t="s">
        <v>105</v>
      </c>
    </row>
    <row r="53" customFormat="false" ht="19.5" hidden="false" customHeight="true" outlineLevel="0" collapsed="false">
      <c r="A53" s="10" t="s">
        <v>106</v>
      </c>
      <c r="B53" s="10"/>
      <c r="C53" s="10"/>
      <c r="D53" s="10"/>
    </row>
    <row r="54" customFormat="false" ht="15" hidden="false" customHeight="false" outlineLevel="0" collapsed="false">
      <c r="A54" s="4" t="s">
        <v>3</v>
      </c>
      <c r="B54" s="5" t="s">
        <v>4</v>
      </c>
      <c r="C54" s="5" t="s">
        <v>5</v>
      </c>
      <c r="D54" s="4" t="s">
        <v>6</v>
      </c>
    </row>
    <row r="55" customFormat="false" ht="15" hidden="false" customHeight="false" outlineLevel="0" collapsed="false">
      <c r="A55" s="6" t="s">
        <v>107</v>
      </c>
      <c r="B55" s="11" t="n">
        <v>1024</v>
      </c>
      <c r="C55" s="8" t="s">
        <v>82</v>
      </c>
      <c r="D55" s="9" t="s">
        <v>108</v>
      </c>
    </row>
    <row r="56" customFormat="false" ht="15" hidden="false" customHeight="false" outlineLevel="0" collapsed="false">
      <c r="A56" s="6" t="s">
        <v>109</v>
      </c>
      <c r="B56" s="11" t="n">
        <v>8</v>
      </c>
      <c r="C56" s="8" t="s">
        <v>110</v>
      </c>
      <c r="D56" s="9" t="s">
        <v>111</v>
      </c>
    </row>
    <row r="57" customFormat="false" ht="15" hidden="false" customHeight="false" outlineLevel="0" collapsed="false">
      <c r="A57" s="6" t="s">
        <v>112</v>
      </c>
      <c r="B57" s="11" t="n">
        <v>4</v>
      </c>
      <c r="C57" s="8" t="s">
        <v>110</v>
      </c>
      <c r="D57" s="9" t="s">
        <v>113</v>
      </c>
    </row>
    <row r="58" customFormat="false" ht="15" hidden="false" customHeight="false" outlineLevel="0" collapsed="false">
      <c r="A58" s="6" t="s">
        <v>114</v>
      </c>
      <c r="B58" s="11" t="n">
        <v>1</v>
      </c>
      <c r="C58" s="8" t="s">
        <v>110</v>
      </c>
      <c r="D58" s="9" t="s">
        <v>115</v>
      </c>
    </row>
    <row r="59" customFormat="false" ht="22.35" hidden="false" customHeight="false" outlineLevel="0" collapsed="false">
      <c r="A59" s="6" t="s">
        <v>116</v>
      </c>
      <c r="B59" s="11" t="n">
        <v>1</v>
      </c>
      <c r="C59" s="8" t="s">
        <v>110</v>
      </c>
      <c r="D59" s="9" t="s">
        <v>117</v>
      </c>
    </row>
    <row r="60" customFormat="false" ht="15" hidden="false" customHeight="false" outlineLevel="0" collapsed="false">
      <c r="A60" s="6" t="s">
        <v>118</v>
      </c>
      <c r="B60" s="17" t="n">
        <f aca="false">B55/(B56*B57*B58*B59)</f>
        <v>32</v>
      </c>
      <c r="C60" s="8" t="s">
        <v>110</v>
      </c>
      <c r="D60" s="9" t="s">
        <v>119</v>
      </c>
    </row>
    <row r="61" customFormat="false" ht="15" hidden="false" customHeight="false" outlineLevel="0" collapsed="false">
      <c r="A61" s="6" t="s">
        <v>120</v>
      </c>
      <c r="B61" s="16" t="n">
        <f aca="false">B55/B43</f>
        <v>128</v>
      </c>
      <c r="C61" s="8" t="s">
        <v>121</v>
      </c>
      <c r="D61" s="9" t="s">
        <v>122</v>
      </c>
    </row>
    <row r="62" customFormat="false" ht="15" hidden="false" customHeight="false" outlineLevel="0" collapsed="false">
      <c r="A62" s="6" t="s">
        <v>123</v>
      </c>
      <c r="B62" s="16" t="n">
        <f aca="false">B56*B57*B58*B59</f>
        <v>32</v>
      </c>
      <c r="C62" s="8" t="s">
        <v>82</v>
      </c>
      <c r="D62" s="9" t="s">
        <v>124</v>
      </c>
    </row>
    <row r="63" customFormat="false" ht="15" hidden="false" customHeight="false" outlineLevel="0" collapsed="false">
      <c r="A63" s="6" t="s">
        <v>125</v>
      </c>
      <c r="B63" s="18" t="str">
        <f aca="false">IF(B56&lt;=B42,"OK","VIOLATION")</f>
        <v>OK</v>
      </c>
      <c r="C63" s="8"/>
      <c r="D63" s="9" t="s">
        <v>126</v>
      </c>
    </row>
    <row r="64" customFormat="false" ht="15" hidden="false" customHeight="false" outlineLevel="0" collapsed="false">
      <c r="A64" s="6" t="s">
        <v>127</v>
      </c>
      <c r="B64" s="18" t="str">
        <f aca="false">IF(B6&lt;&gt;"MoE","n/a",IF(B59&lt;=B42,"on NVLink","CROSSES IB — MoE penalty"))</f>
        <v>n/a</v>
      </c>
      <c r="C64" s="8"/>
      <c r="D64" s="9" t="s">
        <v>128</v>
      </c>
    </row>
    <row r="65" customFormat="false" ht="15" hidden="false" customHeight="false" outlineLevel="0" collapsed="false">
      <c r="A65" s="6" t="s">
        <v>129</v>
      </c>
      <c r="B65" s="18" t="str">
        <f aca="false">IF(MOD(B55,B56*B57*B58*B59)=0,"OK","CHECK")</f>
        <v>OK</v>
      </c>
      <c r="C65" s="8"/>
      <c r="D65" s="9" t="s">
        <v>130</v>
      </c>
    </row>
    <row r="67" customFormat="false" ht="19.5" hidden="false" customHeight="true" outlineLevel="0" collapsed="false">
      <c r="A67" s="10" t="s">
        <v>131</v>
      </c>
      <c r="B67" s="10"/>
      <c r="C67" s="10"/>
      <c r="D67" s="10"/>
    </row>
    <row r="68" customFormat="false" ht="15" hidden="false" customHeight="false" outlineLevel="0" collapsed="false">
      <c r="A68" s="4" t="s">
        <v>3</v>
      </c>
      <c r="B68" s="5" t="s">
        <v>4</v>
      </c>
      <c r="C68" s="5" t="s">
        <v>5</v>
      </c>
      <c r="D68" s="4" t="s">
        <v>6</v>
      </c>
    </row>
    <row r="69" customFormat="false" ht="15" hidden="false" customHeight="false" outlineLevel="0" collapsed="false">
      <c r="A69" s="6" t="s">
        <v>132</v>
      </c>
      <c r="B69" s="16" t="n">
        <f aca="false">IF(B6="MoE",B16,B15)</f>
        <v>120</v>
      </c>
      <c r="C69" s="8" t="s">
        <v>28</v>
      </c>
      <c r="D69" s="9" t="s">
        <v>133</v>
      </c>
    </row>
    <row r="70" customFormat="false" ht="15" hidden="false" customHeight="false" outlineLevel="0" collapsed="false">
      <c r="A70" s="6" t="s">
        <v>134</v>
      </c>
      <c r="B70" s="19" t="n">
        <f aca="false">B23/B22</f>
        <v>1</v>
      </c>
      <c r="C70" s="8" t="s">
        <v>38</v>
      </c>
      <c r="D70" s="9" t="s">
        <v>135</v>
      </c>
    </row>
    <row r="71" customFormat="false" ht="22.35" hidden="false" customHeight="false" outlineLevel="0" collapsed="false">
      <c r="A71" s="6" t="s">
        <v>136</v>
      </c>
      <c r="B71" s="20" t="n">
        <f aca="false">(B20/(6*B25))*B70</f>
        <v>0.111111111111111</v>
      </c>
      <c r="C71" s="8" t="s">
        <v>60</v>
      </c>
      <c r="D71" s="9" t="s">
        <v>137</v>
      </c>
    </row>
    <row r="72" customFormat="false" ht="15" hidden="false" customHeight="false" outlineLevel="0" collapsed="false">
      <c r="A72" s="6" t="s">
        <v>138</v>
      </c>
      <c r="B72" s="20" t="n">
        <f aca="false">B48*IF(B6="MoE",B37,1)*IF(B7="Hybrid-SSM",B38,1)</f>
        <v>0.35</v>
      </c>
      <c r="C72" s="8" t="s">
        <v>38</v>
      </c>
      <c r="D72" s="9" t="s">
        <v>139</v>
      </c>
    </row>
    <row r="73" customFormat="false" ht="15" hidden="false" customHeight="false" outlineLevel="0" collapsed="false">
      <c r="A73" s="6" t="s">
        <v>140</v>
      </c>
      <c r="B73" s="21" t="n">
        <f aca="false">IF(B9="FP8",B47,B46)</f>
        <v>2.5</v>
      </c>
      <c r="C73" s="8" t="s">
        <v>141</v>
      </c>
      <c r="D73" s="9" t="s">
        <v>142</v>
      </c>
    </row>
    <row r="74" customFormat="false" ht="15" hidden="false" customHeight="false" outlineLevel="0" collapsed="false">
      <c r="A74" s="6" t="s">
        <v>143</v>
      </c>
      <c r="B74" s="22" t="n">
        <f aca="false">B73*B72</f>
        <v>0.875</v>
      </c>
      <c r="C74" s="8" t="s">
        <v>141</v>
      </c>
      <c r="D74" s="9" t="s">
        <v>144</v>
      </c>
    </row>
    <row r="75" customFormat="false" ht="15" hidden="false" customHeight="false" outlineLevel="0" collapsed="false">
      <c r="A75" s="6" t="s">
        <v>145</v>
      </c>
      <c r="B75" s="17" t="n">
        <f aca="false">B74*B55</f>
        <v>896</v>
      </c>
      <c r="C75" s="8" t="s">
        <v>141</v>
      </c>
      <c r="D75" s="9" t="s">
        <v>146</v>
      </c>
    </row>
    <row r="76" customFormat="false" ht="15" hidden="false" customHeight="false" outlineLevel="0" collapsed="false">
      <c r="A76" s="6" t="s">
        <v>147</v>
      </c>
      <c r="B76" s="23" t="n">
        <f aca="false">6*B69*1000000000*B18*1000000000000*(1+B71)</f>
        <v>2.4E+024</v>
      </c>
      <c r="C76" s="8" t="s">
        <v>148</v>
      </c>
      <c r="D76" s="9" t="s">
        <v>149</v>
      </c>
    </row>
    <row r="77" customFormat="false" ht="15" hidden="false" customHeight="false" outlineLevel="0" collapsed="false">
      <c r="A77" s="6" t="s">
        <v>150</v>
      </c>
      <c r="B77" s="23" t="n">
        <f aca="false">IF(B8="Multi-modal",6*B17*1000000000*B18*1000000000000*B19,0)</f>
        <v>0</v>
      </c>
      <c r="C77" s="8" t="s">
        <v>148</v>
      </c>
      <c r="D77" s="9" t="s">
        <v>151</v>
      </c>
    </row>
    <row r="78" customFormat="false" ht="15" hidden="false" customHeight="false" outlineLevel="0" collapsed="false">
      <c r="A78" s="6" t="s">
        <v>152</v>
      </c>
      <c r="B78" s="23" t="n">
        <f aca="false">(B76+B77)*B27</f>
        <v>2.88E+024</v>
      </c>
      <c r="C78" s="8" t="s">
        <v>148</v>
      </c>
      <c r="D78" s="9" t="s">
        <v>153</v>
      </c>
    </row>
    <row r="79" customFormat="false" ht="15" hidden="false" customHeight="false" outlineLevel="0" collapsed="false">
      <c r="A79" s="6" t="s">
        <v>154</v>
      </c>
      <c r="B79" s="17" t="n">
        <f aca="false">B78/(B75*1000000000000000)/86400</f>
        <v>37.202380952381</v>
      </c>
      <c r="C79" s="8" t="s">
        <v>155</v>
      </c>
      <c r="D79" s="9" t="s">
        <v>156</v>
      </c>
    </row>
    <row r="80" customFormat="false" ht="15" hidden="false" customHeight="false" outlineLevel="0" collapsed="false">
      <c r="A80" s="6" t="s">
        <v>157</v>
      </c>
      <c r="B80" s="21" t="n">
        <f aca="false">IF(B10="Muon",B30,1)</f>
        <v>1.45</v>
      </c>
      <c r="C80" s="8" t="s">
        <v>60</v>
      </c>
      <c r="D80" s="9" t="s">
        <v>158</v>
      </c>
    </row>
    <row r="81" customFormat="false" ht="15" hidden="false" customHeight="false" outlineLevel="0" collapsed="false">
      <c r="A81" s="6" t="s">
        <v>159</v>
      </c>
      <c r="B81" s="24" t="n">
        <f aca="false">B79/B80</f>
        <v>25.6568144499179</v>
      </c>
      <c r="C81" s="8" t="s">
        <v>155</v>
      </c>
      <c r="D81" s="9" t="s">
        <v>160</v>
      </c>
    </row>
    <row r="82" customFormat="false" ht="15" hidden="false" customHeight="false" outlineLevel="0" collapsed="false">
      <c r="A82" s="6" t="s">
        <v>161</v>
      </c>
      <c r="B82" s="16" t="n">
        <f aca="false">B79*24*B55</f>
        <v>914285.714285714</v>
      </c>
      <c r="C82" s="8" t="s">
        <v>162</v>
      </c>
      <c r="D82" s="9" t="s">
        <v>163</v>
      </c>
    </row>
    <row r="83" customFormat="false" ht="15" hidden="false" customHeight="false" outlineLevel="0" collapsed="false">
      <c r="A83" s="6" t="s">
        <v>164</v>
      </c>
      <c r="B83" s="17" t="n">
        <f aca="false">(6*B69*1000000000*B21*1000000*(1+B71)*B27)/(B75*1000000000000000)</f>
        <v>8.57142857142857</v>
      </c>
      <c r="C83" s="8" t="s">
        <v>165</v>
      </c>
      <c r="D83" s="9" t="s">
        <v>166</v>
      </c>
    </row>
    <row r="85" customFormat="false" ht="19.5" hidden="false" customHeight="true" outlineLevel="0" collapsed="false">
      <c r="A85" s="10" t="s">
        <v>167</v>
      </c>
      <c r="B85" s="10"/>
      <c r="C85" s="10"/>
      <c r="D85" s="10"/>
    </row>
    <row r="86" customFormat="false" ht="15" hidden="false" customHeight="false" outlineLevel="0" collapsed="false">
      <c r="A86" s="4" t="s">
        <v>3</v>
      </c>
      <c r="B86" s="5" t="s">
        <v>4</v>
      </c>
      <c r="C86" s="5" t="s">
        <v>5</v>
      </c>
      <c r="D86" s="4" t="s">
        <v>6</v>
      </c>
    </row>
    <row r="87" customFormat="false" ht="15" hidden="false" customHeight="false" outlineLevel="0" collapsed="false">
      <c r="A87" s="6" t="s">
        <v>168</v>
      </c>
      <c r="B87" s="16" t="n">
        <f aca="false">IF(B10="AdamW",18,14)</f>
        <v>14</v>
      </c>
      <c r="C87" s="8" t="s">
        <v>28</v>
      </c>
      <c r="D87" s="9" t="s">
        <v>169</v>
      </c>
    </row>
    <row r="88" customFormat="false" ht="15" hidden="false" customHeight="false" outlineLevel="0" collapsed="false">
      <c r="A88" s="6" t="s">
        <v>170</v>
      </c>
      <c r="B88" s="16" t="n">
        <f aca="false">B56*B57*B59</f>
        <v>32</v>
      </c>
      <c r="C88" s="8" t="s">
        <v>110</v>
      </c>
      <c r="D88" s="9" t="s">
        <v>171</v>
      </c>
    </row>
    <row r="89" customFormat="false" ht="15" hidden="false" customHeight="false" outlineLevel="0" collapsed="false">
      <c r="A89" s="6" t="s">
        <v>172</v>
      </c>
      <c r="B89" s="17" t="n">
        <f aca="false">6*B15*1000000000/B88/1000000000</f>
        <v>22.5</v>
      </c>
      <c r="C89" s="8" t="s">
        <v>87</v>
      </c>
      <c r="D89" s="9" t="s">
        <v>173</v>
      </c>
    </row>
    <row r="90" customFormat="false" ht="22.35" hidden="false" customHeight="false" outlineLevel="0" collapsed="false">
      <c r="A90" s="6" t="s">
        <v>174</v>
      </c>
      <c r="B90" s="17" t="n">
        <f aca="false">(B87-6)*B15*1000000000/B55/1000000000</f>
        <v>0.9375</v>
      </c>
      <c r="C90" s="8" t="s">
        <v>87</v>
      </c>
      <c r="D90" s="9" t="s">
        <v>175</v>
      </c>
    </row>
    <row r="91" customFormat="false" ht="15" hidden="false" customHeight="false" outlineLevel="0" collapsed="false">
      <c r="A91" s="6" t="s">
        <v>176</v>
      </c>
      <c r="B91" s="17" t="n">
        <f aca="false">B89+B90</f>
        <v>23.4375</v>
      </c>
      <c r="C91" s="8" t="s">
        <v>87</v>
      </c>
      <c r="D91" s="9" t="s">
        <v>177</v>
      </c>
    </row>
    <row r="92" customFormat="false" ht="15" hidden="false" customHeight="false" outlineLevel="0" collapsed="false">
      <c r="A92" s="6" t="s">
        <v>178</v>
      </c>
      <c r="B92" s="17" t="n">
        <f aca="false">(B26*B20*B25*2*B28)*(B22/B57)/(B56*B58)/1000000000*IF(B8="Multi-modal",B29,1)</f>
        <v>5.53648128</v>
      </c>
      <c r="C92" s="8" t="s">
        <v>87</v>
      </c>
      <c r="D92" s="9" t="s">
        <v>179</v>
      </c>
    </row>
    <row r="93" customFormat="false" ht="15" hidden="false" customHeight="false" outlineLevel="0" collapsed="false">
      <c r="A93" s="6" t="s">
        <v>180</v>
      </c>
      <c r="B93" s="17" t="n">
        <f aca="false">B91+B92</f>
        <v>28.97398128</v>
      </c>
      <c r="C93" s="8" t="s">
        <v>87</v>
      </c>
      <c r="D93" s="9" t="s">
        <v>181</v>
      </c>
    </row>
    <row r="94" customFormat="false" ht="15" hidden="false" customHeight="false" outlineLevel="0" collapsed="false">
      <c r="A94" s="6" t="s">
        <v>182</v>
      </c>
      <c r="B94" s="17" t="n">
        <f aca="false">B44-B93</f>
        <v>259.02601872</v>
      </c>
      <c r="C94" s="8" t="s">
        <v>87</v>
      </c>
      <c r="D94" s="9" t="s">
        <v>183</v>
      </c>
    </row>
    <row r="95" customFormat="false" ht="15" hidden="false" customHeight="false" outlineLevel="0" collapsed="false">
      <c r="A95" s="6" t="s">
        <v>184</v>
      </c>
      <c r="B95" s="18" t="str">
        <f aca="false">IF(B93&lt;=B44*0.92,"OK","OVER")</f>
        <v>OK</v>
      </c>
      <c r="C95" s="8"/>
      <c r="D95" s="9" t="s">
        <v>185</v>
      </c>
    </row>
    <row r="96" customFormat="false" ht="15" hidden="false" customHeight="false" outlineLevel="0" collapsed="false">
      <c r="A96" s="6" t="s">
        <v>186</v>
      </c>
      <c r="B96" s="16" t="n">
        <f aca="false">B15*1000000000*B87/1000000000</f>
        <v>1680</v>
      </c>
      <c r="C96" s="8" t="s">
        <v>87</v>
      </c>
      <c r="D96" s="9" t="s">
        <v>187</v>
      </c>
    </row>
    <row r="98" customFormat="false" ht="19.5" hidden="false" customHeight="true" outlineLevel="0" collapsed="false">
      <c r="A98" s="10" t="s">
        <v>188</v>
      </c>
      <c r="B98" s="10"/>
      <c r="C98" s="10"/>
      <c r="D98" s="10"/>
    </row>
    <row r="99" customFormat="false" ht="15" hidden="false" customHeight="false" outlineLevel="0" collapsed="false">
      <c r="A99" s="4" t="s">
        <v>3</v>
      </c>
      <c r="B99" s="5" t="s">
        <v>4</v>
      </c>
      <c r="C99" s="5" t="s">
        <v>5</v>
      </c>
      <c r="D99" s="4" t="s">
        <v>6</v>
      </c>
    </row>
    <row r="100" customFormat="false" ht="15" hidden="false" customHeight="false" outlineLevel="0" collapsed="false">
      <c r="A100" s="6" t="s">
        <v>189</v>
      </c>
      <c r="B100" s="17" t="n">
        <f aca="false">2*(2*B15*1000000000/B88)/1000000000</f>
        <v>15</v>
      </c>
      <c r="C100" s="8" t="s">
        <v>87</v>
      </c>
      <c r="D100" s="9" t="s">
        <v>190</v>
      </c>
    </row>
    <row r="101" customFormat="false" ht="15" hidden="false" customHeight="false" outlineLevel="0" collapsed="false">
      <c r="A101" s="6" t="s">
        <v>191</v>
      </c>
      <c r="B101" s="25" t="n">
        <f aca="false">B100/B49</f>
        <v>0.15</v>
      </c>
      <c r="C101" s="8" t="s">
        <v>165</v>
      </c>
      <c r="D101" s="9" t="s">
        <v>192</v>
      </c>
    </row>
    <row r="102" customFormat="false" ht="22.35" hidden="false" customHeight="false" outlineLevel="0" collapsed="false">
      <c r="A102" s="6" t="s">
        <v>193</v>
      </c>
      <c r="B102" s="17" t="n">
        <f aca="false">IF(B6="MoE",2*B35*(B21*1000000/B60)*B25*2*B36*B24/B59/1000000000,0)</f>
        <v>0</v>
      </c>
      <c r="C102" s="8" t="s">
        <v>87</v>
      </c>
      <c r="D102" s="9" t="s">
        <v>194</v>
      </c>
    </row>
    <row r="103" customFormat="false" ht="22.35" hidden="false" customHeight="false" outlineLevel="0" collapsed="false">
      <c r="A103" s="6" t="s">
        <v>195</v>
      </c>
      <c r="B103" s="25" t="n">
        <f aca="false">B102/IF(B59&lt;=B42,B50,B49)</f>
        <v>0</v>
      </c>
      <c r="C103" s="8" t="s">
        <v>165</v>
      </c>
      <c r="D103" s="9" t="s">
        <v>196</v>
      </c>
    </row>
    <row r="104" customFormat="false" ht="15" hidden="false" customHeight="false" outlineLevel="0" collapsed="false">
      <c r="A104" s="6" t="s">
        <v>197</v>
      </c>
      <c r="B104" s="25" t="n">
        <f aca="false">B101+B103</f>
        <v>0.15</v>
      </c>
      <c r="C104" s="8" t="s">
        <v>165</v>
      </c>
      <c r="D104" s="9" t="s">
        <v>198</v>
      </c>
    </row>
    <row r="105" customFormat="false" ht="15" hidden="false" customHeight="false" outlineLevel="0" collapsed="false">
      <c r="A105" s="6" t="s">
        <v>199</v>
      </c>
      <c r="B105" s="19" t="n">
        <f aca="false">B104/B83</f>
        <v>0.0175</v>
      </c>
      <c r="C105" s="8" t="s">
        <v>38</v>
      </c>
      <c r="D105" s="9" t="s">
        <v>200</v>
      </c>
    </row>
    <row r="106" customFormat="false" ht="15" hidden="false" customHeight="false" outlineLevel="0" collapsed="false">
      <c r="A106" s="6" t="s">
        <v>201</v>
      </c>
      <c r="B106" s="18" t="str">
        <f aca="false">IF(B105&lt;=0.15,"comfortably overlappable",IF(B105&lt;=0.35,"overlap carefully","raise batch / rebalance parallelism"))</f>
        <v>comfortably overlappable</v>
      </c>
      <c r="C106" s="8"/>
      <c r="D106" s="9" t="s">
        <v>202</v>
      </c>
    </row>
    <row r="107" customFormat="false" ht="15" hidden="false" customHeight="false" outlineLevel="0" collapsed="false">
      <c r="A107" s="6" t="s">
        <v>203</v>
      </c>
      <c r="B107" s="16" t="n">
        <f aca="false">MAX(4*B57,16)</f>
        <v>16</v>
      </c>
      <c r="C107" s="8" t="s">
        <v>204</v>
      </c>
      <c r="D107" s="9" t="s">
        <v>205</v>
      </c>
    </row>
    <row r="109" customFormat="false" ht="19.5" hidden="false" customHeight="true" outlineLevel="0" collapsed="false">
      <c r="A109" s="10" t="s">
        <v>206</v>
      </c>
      <c r="B109" s="10"/>
      <c r="C109" s="10"/>
      <c r="D109" s="10"/>
    </row>
    <row r="110" customFormat="false" ht="15" hidden="false" customHeight="false" outlineLevel="0" collapsed="false">
      <c r="A110" s="4" t="s">
        <v>3</v>
      </c>
      <c r="B110" s="5" t="s">
        <v>4</v>
      </c>
      <c r="C110" s="5" t="s">
        <v>5</v>
      </c>
      <c r="D110" s="4" t="s">
        <v>6</v>
      </c>
    </row>
    <row r="111" customFormat="false" ht="15" hidden="false" customHeight="false" outlineLevel="0" collapsed="false">
      <c r="A111" s="6" t="s">
        <v>207</v>
      </c>
      <c r="B111" s="25" t="n">
        <f aca="false">B96/1000</f>
        <v>1.68</v>
      </c>
      <c r="C111" s="8" t="s">
        <v>208</v>
      </c>
      <c r="D111" s="9" t="s">
        <v>209</v>
      </c>
    </row>
    <row r="112" customFormat="false" ht="15" hidden="false" customHeight="false" outlineLevel="0" collapsed="false">
      <c r="A112" s="6" t="s">
        <v>210</v>
      </c>
      <c r="B112" s="11" t="n">
        <v>20</v>
      </c>
      <c r="C112" s="8" t="s">
        <v>211</v>
      </c>
      <c r="D112" s="9" t="s">
        <v>212</v>
      </c>
    </row>
    <row r="113" customFormat="false" ht="15" hidden="false" customHeight="false" outlineLevel="0" collapsed="false">
      <c r="A113" s="6" t="s">
        <v>213</v>
      </c>
      <c r="B113" s="11" t="n">
        <v>60</v>
      </c>
      <c r="C113" s="8" t="s">
        <v>165</v>
      </c>
      <c r="D113" s="9" t="s">
        <v>214</v>
      </c>
    </row>
    <row r="114" customFormat="false" ht="15" hidden="false" customHeight="false" outlineLevel="0" collapsed="false">
      <c r="A114" s="6" t="s">
        <v>215</v>
      </c>
      <c r="B114" s="26" t="n">
        <f aca="false">B111*1000/B113</f>
        <v>28</v>
      </c>
      <c r="C114" s="8" t="s">
        <v>100</v>
      </c>
      <c r="D114" s="9" t="s">
        <v>216</v>
      </c>
    </row>
    <row r="115" customFormat="false" ht="15" hidden="false" customHeight="false" outlineLevel="0" collapsed="false">
      <c r="A115" s="6" t="s">
        <v>217</v>
      </c>
      <c r="B115" s="17" t="n">
        <f aca="false">B18*1000000000000*2/1000000000000</f>
        <v>6</v>
      </c>
      <c r="C115" s="8" t="s">
        <v>208</v>
      </c>
      <c r="D115" s="9" t="s">
        <v>218</v>
      </c>
    </row>
    <row r="116" customFormat="false" ht="15" hidden="false" customHeight="false" outlineLevel="0" collapsed="false">
      <c r="A116" s="6" t="s">
        <v>219</v>
      </c>
      <c r="B116" s="11" t="n">
        <v>3</v>
      </c>
      <c r="C116" s="8" t="s">
        <v>60</v>
      </c>
      <c r="D116" s="9" t="s">
        <v>220</v>
      </c>
    </row>
    <row r="117" customFormat="false" ht="15" hidden="false" customHeight="false" outlineLevel="0" collapsed="false">
      <c r="A117" s="6" t="s">
        <v>221</v>
      </c>
      <c r="B117" s="17" t="n">
        <f aca="false">B115*B116</f>
        <v>18</v>
      </c>
      <c r="C117" s="8" t="s">
        <v>208</v>
      </c>
      <c r="D117" s="9" t="s">
        <v>222</v>
      </c>
    </row>
    <row r="119" customFormat="false" ht="19.5" hidden="false" customHeight="true" outlineLevel="0" collapsed="false">
      <c r="A119" s="10" t="s">
        <v>223</v>
      </c>
      <c r="B119" s="10"/>
      <c r="C119" s="10"/>
      <c r="D119" s="10"/>
    </row>
    <row r="120" customFormat="false" ht="15" hidden="false" customHeight="false" outlineLevel="0" collapsed="false">
      <c r="A120" s="4" t="s">
        <v>3</v>
      </c>
      <c r="B120" s="5" t="s">
        <v>4</v>
      </c>
      <c r="C120" s="5" t="s">
        <v>5</v>
      </c>
      <c r="D120" s="4" t="s">
        <v>6</v>
      </c>
    </row>
    <row r="121" customFormat="false" ht="15" hidden="false" customHeight="false" outlineLevel="0" collapsed="false">
      <c r="A121" s="6" t="s">
        <v>224</v>
      </c>
      <c r="B121" s="25" t="n">
        <f aca="false">B55*B45/1000000</f>
        <v>1.4336</v>
      </c>
      <c r="C121" s="8" t="s">
        <v>225</v>
      </c>
      <c r="D121" s="9" t="s">
        <v>226</v>
      </c>
    </row>
    <row r="122" customFormat="false" ht="15" hidden="false" customHeight="false" outlineLevel="0" collapsed="false">
      <c r="A122" s="6" t="s">
        <v>227</v>
      </c>
      <c r="B122" s="27" t="n">
        <f aca="false">B121*B51</f>
        <v>2.00704</v>
      </c>
      <c r="C122" s="8" t="s">
        <v>225</v>
      </c>
      <c r="D122" s="9" t="s">
        <v>228</v>
      </c>
    </row>
    <row r="123" customFormat="false" ht="15" hidden="false" customHeight="false" outlineLevel="0" collapsed="false">
      <c r="A123" s="6" t="s">
        <v>229</v>
      </c>
      <c r="B123" s="17" t="n">
        <f aca="false">B43*B45/1000*B51</f>
        <v>15.68</v>
      </c>
      <c r="C123" s="8" t="s">
        <v>230</v>
      </c>
      <c r="D123" s="9" t="s">
        <v>231</v>
      </c>
    </row>
    <row r="124" customFormat="false" ht="15" hidden="false" customHeight="false" outlineLevel="0" collapsed="false">
      <c r="A124" s="6" t="s">
        <v>232</v>
      </c>
      <c r="B124" s="18" t="str">
        <f aca="false">IF(B45&gt;0,"Liquid / RDHx required","")</f>
        <v>Liquid / RDHx required</v>
      </c>
      <c r="C124" s="8"/>
      <c r="D124" s="9" t="s">
        <v>233</v>
      </c>
    </row>
    <row r="126" customFormat="false" ht="19.5" hidden="false" customHeight="true" outlineLevel="0" collapsed="false">
      <c r="A126" s="10" t="s">
        <v>234</v>
      </c>
      <c r="B126" s="10"/>
      <c r="C126" s="10"/>
      <c r="D126" s="10"/>
    </row>
    <row r="127" customFormat="false" ht="15" hidden="false" customHeight="false" outlineLevel="0" collapsed="false">
      <c r="A127" s="4" t="s">
        <v>3</v>
      </c>
      <c r="B127" s="5" t="s">
        <v>4</v>
      </c>
      <c r="C127" s="5" t="s">
        <v>5</v>
      </c>
      <c r="D127" s="4" t="s">
        <v>6</v>
      </c>
    </row>
    <row r="128" customFormat="false" ht="15" hidden="false" customHeight="false" outlineLevel="0" collapsed="false">
      <c r="A128" s="6" t="s">
        <v>235</v>
      </c>
      <c r="B128" s="28" t="str">
        <f aca="false">IF(AND(B6="MoE",B59&gt;B42),"All-to-all bandwidth (EP crosses IB)",IF(B94&lt;B44*0.15,"Memory / HBM",IF(B105&gt;0.35,"Interconnect (DP + all-to-all)","Compute")))</f>
        <v>Compute</v>
      </c>
      <c r="C128" s="8"/>
      <c r="D128" s="9" t="s">
        <v>236</v>
      </c>
    </row>
    <row r="129" customFormat="false" ht="15" hidden="false" customHeight="false" outlineLevel="0" collapsed="false">
      <c r="A129" s="6" t="s">
        <v>237</v>
      </c>
      <c r="B129" s="28" t="str">
        <f aca="false">IF(AND(B63="OK",B65="OK",B95="OK"),"config valid","FIX flagged rows")</f>
        <v>config valid</v>
      </c>
      <c r="C129" s="8"/>
      <c r="D129" s="9" t="s">
        <v>238</v>
      </c>
    </row>
    <row r="130" customFormat="false" ht="22.35" hidden="false" customHeight="true" outlineLevel="0" collapsed="false">
      <c r="A130" s="6" t="s">
        <v>239</v>
      </c>
      <c r="B130" s="28" t="s">
        <v>240</v>
      </c>
      <c r="C130" s="29" t="s">
        <v>241</v>
      </c>
      <c r="D130" s="29"/>
    </row>
    <row r="131" customFormat="false" ht="15" hidden="false" customHeight="true" outlineLevel="0" collapsed="false">
      <c r="A131" s="6" t="s">
        <v>242</v>
      </c>
      <c r="B131" s="28" t="s">
        <v>243</v>
      </c>
      <c r="C131" s="29" t="s">
        <v>244</v>
      </c>
      <c r="D131" s="29"/>
    </row>
    <row r="132" customFormat="false" ht="15" hidden="false" customHeight="true" outlineLevel="0" collapsed="false">
      <c r="A132" s="6" t="s">
        <v>245</v>
      </c>
      <c r="B132" s="28" t="s">
        <v>246</v>
      </c>
      <c r="C132" s="29" t="s">
        <v>247</v>
      </c>
      <c r="D132" s="29"/>
    </row>
    <row r="133" customFormat="false" ht="15" hidden="false" customHeight="true" outlineLevel="0" collapsed="false">
      <c r="A133" s="6" t="s">
        <v>248</v>
      </c>
      <c r="B133" s="28" t="s">
        <v>249</v>
      </c>
      <c r="C133" s="29" t="s">
        <v>250</v>
      </c>
      <c r="D133" s="29"/>
    </row>
    <row r="134" customFormat="false" ht="22.35" hidden="false" customHeight="true" outlineLevel="0" collapsed="false">
      <c r="A134" s="6" t="s">
        <v>20</v>
      </c>
      <c r="B134" s="28" t="s">
        <v>251</v>
      </c>
      <c r="C134" s="29" t="s">
        <v>252</v>
      </c>
      <c r="D134" s="29"/>
    </row>
    <row r="135" customFormat="false" ht="15" hidden="false" customHeight="true" outlineLevel="0" collapsed="false">
      <c r="A135" s="6" t="s">
        <v>253</v>
      </c>
      <c r="B135" s="28" t="s">
        <v>254</v>
      </c>
      <c r="C135" s="29" t="s">
        <v>255</v>
      </c>
      <c r="D135" s="29"/>
    </row>
    <row r="136" customFormat="false" ht="15" hidden="false" customHeight="true" outlineLevel="0" collapsed="false">
      <c r="A136" s="6" t="s">
        <v>256</v>
      </c>
      <c r="B136" s="28" t="s">
        <v>257</v>
      </c>
      <c r="C136" s="29" t="s">
        <v>258</v>
      </c>
      <c r="D136" s="29"/>
    </row>
    <row r="137" customFormat="false" ht="22.35" hidden="false" customHeight="true" outlineLevel="0" collapsed="false">
      <c r="A137" s="6" t="s">
        <v>259</v>
      </c>
      <c r="B137" s="28" t="s">
        <v>260</v>
      </c>
      <c r="C137" s="29" t="s">
        <v>261</v>
      </c>
      <c r="D137" s="29"/>
    </row>
    <row r="138" customFormat="false" ht="15" hidden="false" customHeight="true" outlineLevel="0" collapsed="false">
      <c r="A138" s="6" t="s">
        <v>262</v>
      </c>
      <c r="B138" s="28" t="s">
        <v>263</v>
      </c>
      <c r="C138" s="29" t="s">
        <v>264</v>
      </c>
      <c r="D138" s="29"/>
    </row>
    <row r="140" customFormat="false" ht="19.5" hidden="false" customHeight="true" outlineLevel="0" collapsed="false">
      <c r="A140" s="10" t="s">
        <v>265</v>
      </c>
      <c r="B140" s="10"/>
      <c r="C140" s="10"/>
      <c r="D140" s="10"/>
    </row>
    <row r="141" customFormat="false" ht="27.75" hidden="false" customHeight="true" outlineLevel="0" collapsed="false">
      <c r="A141" s="30" t="s">
        <v>266</v>
      </c>
      <c r="B141" s="30"/>
      <c r="C141" s="30"/>
      <c r="D141" s="30"/>
    </row>
    <row r="142" customFormat="false" ht="27.75" hidden="false" customHeight="true" outlineLevel="0" collapsed="false">
      <c r="A142" s="30" t="s">
        <v>267</v>
      </c>
      <c r="B142" s="30"/>
      <c r="C142" s="30"/>
      <c r="D142" s="30"/>
    </row>
    <row r="143" customFormat="false" ht="27.75" hidden="false" customHeight="true" outlineLevel="0" collapsed="false">
      <c r="A143" s="30" t="s">
        <v>268</v>
      </c>
      <c r="B143" s="30"/>
      <c r="C143" s="30"/>
      <c r="D143" s="30"/>
    </row>
    <row r="144" customFormat="false" ht="15.75" hidden="false" customHeight="true" outlineLevel="0" collapsed="false">
      <c r="A144" s="31" t="s">
        <v>269</v>
      </c>
      <c r="B144" s="31"/>
      <c r="C144" s="31"/>
      <c r="D144" s="31"/>
    </row>
    <row r="145" customFormat="false" ht="27.75" hidden="false" customHeight="true" outlineLevel="0" collapsed="false">
      <c r="A145" s="31" t="s">
        <v>270</v>
      </c>
      <c r="B145" s="31"/>
      <c r="C145" s="31"/>
      <c r="D145" s="31"/>
    </row>
    <row r="146" customFormat="false" ht="27.75" hidden="false" customHeight="true" outlineLevel="0" collapsed="false">
      <c r="A146" s="31" t="s">
        <v>271</v>
      </c>
      <c r="B146" s="31"/>
      <c r="C146" s="31"/>
      <c r="D146" s="31"/>
    </row>
    <row r="147" customFormat="false" ht="27.75" hidden="false" customHeight="true" outlineLevel="0" collapsed="false">
      <c r="A147" s="31" t="s">
        <v>272</v>
      </c>
      <c r="B147" s="31"/>
      <c r="C147" s="31"/>
      <c r="D147" s="31"/>
    </row>
    <row r="148" customFormat="false" ht="27.75" hidden="false" customHeight="true" outlineLevel="0" collapsed="false">
      <c r="A148" s="31" t="s">
        <v>273</v>
      </c>
      <c r="B148" s="31"/>
      <c r="C148" s="31"/>
      <c r="D148" s="31"/>
    </row>
  </sheetData>
  <mergeCells count="31">
    <mergeCell ref="A1:D1"/>
    <mergeCell ref="A2:D2"/>
    <mergeCell ref="A4:D4"/>
    <mergeCell ref="A13:D13"/>
    <mergeCell ref="A32:D32"/>
    <mergeCell ref="A40:D40"/>
    <mergeCell ref="A53:D53"/>
    <mergeCell ref="A67:D67"/>
    <mergeCell ref="A85:D85"/>
    <mergeCell ref="A98:D98"/>
    <mergeCell ref="A109:D109"/>
    <mergeCell ref="A119:D119"/>
    <mergeCell ref="A126:D126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</mergeCells>
  <dataValidations count="6">
    <dataValidation allowBlank="false" errorStyle="stop" operator="between" showDropDown="false" showErrorMessage="false" showInputMessage="false" sqref="B6" type="list">
      <formula1>"Dense,MoE"</formula1>
      <formula2>0</formula2>
    </dataValidation>
    <dataValidation allowBlank="false" errorStyle="stop" operator="between" showDropDown="false" showErrorMessage="false" showInputMessage="false" sqref="B7" type="list">
      <formula1>"Attention,Hybrid-SSM"</formula1>
      <formula2>0</formula2>
    </dataValidation>
    <dataValidation allowBlank="false" errorStyle="stop" operator="between" showDropDown="false" showErrorMessage="false" showInputMessage="false" sqref="B8" type="list">
      <formula1>"Text,Multi-modal"</formula1>
      <formula2>0</formula2>
    </dataValidation>
    <dataValidation allowBlank="false" errorStyle="stop" operator="between" showDropDown="false" showErrorMessage="false" showInputMessage="false" sqref="B9" type="list">
      <formula1>"BF16,FP8"</formula1>
      <formula2>0</formula2>
    </dataValidation>
    <dataValidation allowBlank="false" errorStyle="stop" operator="between" showDropDown="false" showErrorMessage="false" showInputMessage="false" sqref="B10" type="list">
      <formula1>"AdamW,Muon"</formula1>
      <formula2>0</formula2>
    </dataValidation>
    <dataValidation allowBlank="false" errorStyle="stop" operator="between" showDropDown="false" showErrorMessage="false" showInputMessage="false" sqref="B11" type="list">
      <formula1>"DGX B300,GB300 NVL72"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2026-07-19T04:13:24Z</dcterms:created>
  <dc:creator>openpyxl</dc:creator>
  <dc:description/>
  <dc:language>en-US</dc:language>
  <cp:lastModifiedBy/>
  <dcterms:modified xsi:type="dcterms:W3CDTF">2026-07-19T04:13:24Z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