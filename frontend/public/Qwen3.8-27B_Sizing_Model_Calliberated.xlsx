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ilicon" sheetId="1" state="visible" r:id="rId3"/>
    <sheet name="Model Architecture" sheetId="2" state="visible" r:id="rId4"/>
    <sheet name="VRAM Calculation" sheetId="3" state="visible" r:id="rId5"/>
    <sheet name="Prefill TFLOPs" sheetId="4" state="visible" r:id="rId6"/>
    <sheet name="Prefill TP" sheetId="5" state="visible" r:id="rId7"/>
    <sheet name="Prefill Calibration" sheetId="6" state="visible" r:id="rId8"/>
    <sheet name="Decode TFLOPs" sheetId="7" state="visible" r:id="rId9"/>
    <sheet name="Decode Multi-Node" sheetId="8" state="visible" r:id="rId10"/>
    <sheet name="Decode BW" sheetId="9" state="visible" r:id="rId11"/>
  </sheets>
  <definedNames>
    <definedName function="false" hidden="false" name="ActBytes" vbProcedure="false">'Model Architecture'!$B$53</definedName>
    <definedName function="false" hidden="false" name="BandwidthGBs" vbProcedure="false">'Model Architecture'!$B$21</definedName>
    <definedName function="false" hidden="false" name="CConst" vbProcedure="false">'Model Architecture'!$B$14</definedName>
    <definedName function="false" hidden="false" name="CollPerLayer" vbProcedure="false">'Model Architecture'!$B$52</definedName>
    <definedName function="false" hidden="false" name="CommEff" vbProcedure="false">'Model Architecture'!$B$72</definedName>
    <definedName function="false" hidden="false" name="ComputeDerate" vbProcedure="false">'Model Architecture'!$B$70</definedName>
    <definedName function="false" hidden="false" name="Concurrency" vbProcedure="false">'Model Architecture'!$B$6</definedName>
    <definedName function="false" hidden="false" name="DecodeContextLen" vbProcedure="false">'Model Architecture'!$B$9</definedName>
    <definedName function="false" hidden="false" name="DeltaNetLayers" vbProcedure="false">'Model Architecture'!$B$31</definedName>
    <definedName function="false" hidden="false" name="DHeadDim" vbProcedure="false">'Model Architecture'!$B$43</definedName>
    <definedName function="false" hidden="false" name="EffComputeMFU" vbProcedure="false">'Model Architecture'!$B$71</definedName>
    <definedName function="false" hidden="false" name="Efficiency" vbProcedure="false">'Model Architecture'!$B$13</definedName>
    <definedName function="false" hidden="false" name="FullAttnLayers" vbProcedure="false">'Model Architecture'!$B$30</definedName>
    <definedName function="false" hidden="false" name="GemmMFU" vbProcedure="false">'Model Architecture'!$B$69</definedName>
    <definedName function="false" hidden="false" name="GPUsPerNode" vbProcedure="false">'Model Architecture'!$B$59</definedName>
    <definedName function="false" hidden="false" name="HeadDim" vbProcedure="false">'Model Architecture'!$B$39</definedName>
    <definedName function="false" hidden="false" name="HiddenComm" vbProcedure="false">'Model Architecture'!$B$54</definedName>
    <definedName function="false" hidden="false" name="InputTokens" vbProcedure="false">'Model Architecture'!$B$7</definedName>
    <definedName function="false" hidden="false" name="InterBW" vbProcedure="false">'Model Architecture'!$B$62</definedName>
    <definedName function="false" hidden="false" name="InterLat" vbProcedure="false">'Model Architecture'!$B$63</definedName>
    <definedName function="false" hidden="false" name="IntraTP" vbProcedure="false">'Model Architecture'!$B$60</definedName>
    <definedName function="false" hidden="false" name="KVBytes" vbProcedure="false">'Model Architecture'!$B$11</definedName>
    <definedName function="false" hidden="false" name="KvHeads" vbProcedure="false">'Model Architecture'!$B$38</definedName>
    <definedName function="false" hidden="false" name="LinkBW" vbProcedure="false">'Model Architecture'!$B$50</definedName>
    <definedName function="false" hidden="false" name="LinkLat" vbProcedure="false">'Model Architecture'!$B$51</definedName>
    <definedName function="false" hidden="false" name="Nodes" vbProcedure="false">'Model Architecture'!$B$58</definedName>
    <definedName function="false" hidden="false" name="Nq" vbProcedure="false">'Model Architecture'!$B$37</definedName>
    <definedName function="false" hidden="false" name="OutputTokens" vbProcedure="false">'Model Architecture'!$B$8</definedName>
    <definedName function="false" hidden="false" name="OverheadPct" vbProcedure="false">'Model Architecture'!$B$12</definedName>
    <definedName function="false" hidden="false" name="Params" vbProcedure="false">'Model Architecture'!$B$28*1000000000</definedName>
    <definedName function="false" hidden="false" name="PeakTFLOPS" vbProcedure="false">'Model Architecture'!$B$20</definedName>
    <definedName function="false" hidden="false" name="PPMicro" vbProcedure="false">'Model Architecture'!$B$65</definedName>
    <definedName function="false" hidden="false" name="PPStages" vbProcedure="false">'Model Architecture'!$B$64</definedName>
    <definedName function="false" hidden="false" name="SelectedSiliconCapacityGB" vbProcedure="false">'Model Architecture'!$B$22</definedName>
    <definedName function="false" hidden="false" name="TotalLayers" vbProcedure="false">'Model Architecture'!$B$29</definedName>
    <definedName function="false" hidden="false" name="TP" vbProcedure="false">'Model Architecture'!$B$48</definedName>
    <definedName function="false" hidden="false" name="VHeads" vbProcedure="false">'Model Architecture'!$B$41</definedName>
    <definedName function="false" hidden="false" name="WeightBytes" vbProcedure="false">'Model Architecture'!$B$10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<sst xmlns="http://schemas.openxmlformats.org/spreadsheetml/2006/main" count="778" uniqueCount="539">
  <si>
    <t xml:space="preserve">Silicon Comparison — Compute, Memory &amp; Interconnect</t>
  </si>
  <si>
    <t xml:space="preserve">Normalized to TFLOPS (compute) and GB / GB-per-second (memory) throughout. Dense = no structured sparsity applied; this is the honest baseline for serving-throughput math. Blank = not supported, or not yet disclosed by the vendor — never a guess. Source: Intel AI silicon comparison workbook (uploaded), cross-checked against vendor datasheets where cited.</t>
  </si>
  <si>
    <t xml:space="preserve">Silicon</t>
  </si>
  <si>
    <t xml:space="preserve">Category</t>
  </si>
  <si>
    <t xml:space="preserve">BF16 TFLOPS (dense)</t>
  </si>
  <si>
    <t xml:space="preserve">BF16 TFLOPS (w/ sparsity)</t>
  </si>
  <si>
    <t xml:space="preserve">FP8 TFLOPS (dense)</t>
  </si>
  <si>
    <t xml:space="preserve">FP8 TFLOPS (w/ sparsity)</t>
  </si>
  <si>
    <t xml:space="preserve">FP4/INT4 TFLOPS (dense)</t>
  </si>
  <si>
    <t xml:space="preserve">FP4/INT4 TFLOPS (w/ sparsity)</t>
  </si>
  <si>
    <t xml:space="preserve">Memory type</t>
  </si>
  <si>
    <t xml:space="preserve">Mem. bandwidth (GB/s)</t>
  </si>
  <si>
    <t xml:space="preserve">Mem. capacity (GB)</t>
  </si>
  <si>
    <t xml:space="preserve">PCIe lanes needed</t>
  </si>
  <si>
    <t xml:space="preserve">PCIe generation</t>
  </si>
  <si>
    <t xml:space="preserve">Notes / source</t>
  </si>
  <si>
    <t xml:space="preserve">Xeon 6737P</t>
  </si>
  <si>
    <t xml:space="preserve">CPU</t>
  </si>
  <si>
    <t xml:space="preserve">DDR5-6400 RDIMM / DDR5-8000 MRDIMM, 8 channels</t>
  </si>
  <si>
    <t xml:space="preserve">N/A — host CPU</t>
  </si>
  <si>
    <t xml:space="preserve">N/A</t>
  </si>
  <si>
    <t xml:space="preserve">BF16 via AMX. BW shown = MRDIMM figure (higher of RDIMM 409.6 / MRDIMM 512). Capacity is platform-dependent (up to 8 DIMMs/socket), not a fixed accelerator figure. Source: Xeon 6 SKU workbook, 32c/270W/2.9GHz base.</t>
  </si>
  <si>
    <t xml:space="preserve">Xeon 6767P</t>
  </si>
  <si>
    <t xml:space="preserve">BF16 via AMX. BW shown = MRDIMM figure. Capacity platform-dependent. Source: Xeon 6 SKU workbook, 64c/350W/2.6GHz base.</t>
  </si>
  <si>
    <t xml:space="preserve">Xeon 6972P</t>
  </si>
  <si>
    <t xml:space="preserve">DDR5-6400 RDIMM / DDR5-8800 MRDIMM, 12 channels</t>
  </si>
  <si>
    <t xml:space="preserve">BF16 via AMX. BW shown = MRDIMM figure (RDIMM 614.4 / MRDIMM 844.8). Capacity platform-dependent (up to 12 DIMMs/socket). Source: Xeon 6 SKU workbook, 96c/500W/2.4GHz base.</t>
  </si>
  <si>
    <t xml:space="preserve">Arc Pro B60</t>
  </si>
  <si>
    <t xml:space="preserve">GPU</t>
  </si>
  <si>
    <t xml:space="preserve">GDDR6, 192-bit</t>
  </si>
  <si>
    <t xml:space="preserve">x8 (x16 physical connector, x8 electrical)</t>
  </si>
  <si>
    <t xml:space="preserve">Gen 5.0</t>
  </si>
  <si>
    <t xml:space="preserve">BF16 derived from XMX, assumed equal to FP16 (no separate BF16 spec published). Source: Intel Arc Pro B60 GPU Data Sheet v1.0.</t>
  </si>
  <si>
    <t xml:space="preserve">Arc Pro B70</t>
  </si>
  <si>
    <t xml:space="preserve">GDDR6, ECC, 256-bit</t>
  </si>
  <si>
    <t xml:space="preserve">x16</t>
  </si>
  <si>
    <t xml:space="preserve">BF16 derived from XMX rate. Source: Intel Arc Pro B70 published specs.</t>
  </si>
  <si>
    <t xml:space="preserve">Crescent Island</t>
  </si>
  <si>
    <t xml:space="preserve">LPDDR5X</t>
  </si>
  <si>
    <t xml:space="preserve">x16 — assumed, not yet confirmed by Intel</t>
  </si>
  <si>
    <t xml:space="preserve">All figures Intel-published, no sparsity applied to any datatype on this part. Capacity: 160 GB reference design, 480 GB partner ceiling. Source: Intel Crescent Island Xe3P Technical Reference v1.0.</t>
  </si>
  <si>
    <t xml:space="preserve">NVIDIA H100 (PCIe)</t>
  </si>
  <si>
    <t xml:space="preserve">HBM2e</t>
  </si>
  <si>
    <t xml:space="preserve">Tensor Core dense/sparse pair as published. Source: NVIDIA H100 PCIe datasheet (public).</t>
  </si>
  <si>
    <t xml:space="preserve">NVIDIA H100 (SXM5)</t>
  </si>
  <si>
    <t xml:space="preserve">HBM3</t>
  </si>
  <si>
    <t xml:space="preserve">N/A — no PCIe host link (NVLink fabric)</t>
  </si>
  <si>
    <t xml:space="preserve">990 TFLOPS dense BF16 is this workbook's serving-math default (see Model Architecture sheet). Source: NVIDIA H100 SXM5 datasheet (public), HGX/DGX 8-GPU form factor.</t>
  </si>
  <si>
    <t xml:space="preserve">NVIDIA RTX PRO 6000 (Blackwell)</t>
  </si>
  <si>
    <t xml:space="preserve">GDDR7, ECC, 512-bit</t>
  </si>
  <si>
    <t xml:space="preserve">FP4 only published as a rounded ~4,000 TOPS sparse headline figure — no dense figure disclosed. Re-verify against nvidia.com before use in a bid.</t>
  </si>
  <si>
    <t xml:space="preserve">NVIDIA GB200 NVL72 (per GPU)</t>
  </si>
  <si>
    <t xml:space="preserve">HBM3e</t>
  </si>
  <si>
    <t xml:space="preserve">Sold/benchmarked as a 36-CPU/72-GPU NVLink-fused rack; per-GPU figures derived by dividing published rack totals. No dense figures disclosed at any precision — sparse only. BW/capacity are per-GPU (576 TB/s and 13.4 TB aggregate across the rack). Re-verify before use in a bid.</t>
  </si>
  <si>
    <t xml:space="preserve">NVIDIA GB300 NVL72 (per GPU)</t>
  </si>
  <si>
    <t xml:space="preserve">FP4 (NVFP4) dense figure (15 PFLOPS/GPU) is explicitly published; BF16/FP8 dense are not. Third-party reporting on FP4 dense/sparse split is inconsistent for GB300 specifically — verify before use. BW/capacity per-GPU.</t>
  </si>
  <si>
    <t xml:space="preserve">SambaNova SN40L</t>
  </si>
  <si>
    <t xml:space="preserve">Accelerator</t>
  </si>
  <si>
    <t xml:space="preserve">HBM3 (tier 1) + up to 1.5 TiB pluggable DDR (tier 2)</t>
  </si>
  <si>
    <t xml:space="preserve">N/A — no PCIe host link</t>
  </si>
  <si>
    <t xml:space="preserve">BF16 = midpoint of published 638–640 TFLOPS native PCU SIMD datapath, per socket. FP8 not a native SN40L datapath (arrives with SN50). Memory BW is a third-party estimate, not vendor-confirmed. Capacity shown = fast HBM3 tier only; DDR tier 2 (up to 1.5 TiB) is a slower second tier, not included in the GB figure.</t>
  </si>
  <si>
    <t xml:space="preserve">Interconnect Reference — all-reduce link bandwidth for tensor parallelism</t>
  </si>
  <si>
    <t xml:space="preserve">Interconnect</t>
  </si>
  <si>
    <t xml:space="preserve">Link BW (GB/s)</t>
  </si>
  <si>
    <t xml:space="preserve">Latency (µs/hop)</t>
  </si>
  <si>
    <t xml:space="preserve">Fabric type</t>
  </si>
  <si>
    <t xml:space="preserve">Notes</t>
  </si>
  <si>
    <t xml:space="preserve">NVLink 5 (GB200/GB300)</t>
  </si>
  <si>
    <t xml:space="preserve">NVLink switch fabric</t>
  </si>
  <si>
    <t xml:space="preserve">Blackwell NVL72 rack, NVLink 5. Per-GPU aggregate bidirectional. Highest-bandwidth option for TP.</t>
  </si>
  <si>
    <t xml:space="preserve">NVLink 4 (H100 SXM5)</t>
  </si>
  <si>
    <t xml:space="preserve">Hopper SXM5 / HGX-DGX 8-GPU. 18 links x 50 GB/s. The default for H100-class TP.</t>
  </si>
  <si>
    <t xml:space="preserve">NVLink 3 (A100 SXM4)</t>
  </si>
  <si>
    <t xml:space="preserve">Ampere SXM4. 12 links x 50 GB/s.</t>
  </si>
  <si>
    <t xml:space="preserve">PCIe Gen5 x16</t>
  </si>
  <si>
    <t xml:space="preserve">PCIe (host / P2P)</t>
  </si>
  <si>
    <t xml:space="preserve">Effective cross-GPU bandwidth without NVLink. ~1 order of magnitude below NVLink — TP prefill often becomes comm-bound here.</t>
  </si>
  <si>
    <t xml:space="preserve">PCIe Gen4 x16</t>
  </si>
  <si>
    <t xml:space="preserve">Older platform ceiling. Rarely a good TP-prefill fabric.</t>
  </si>
  <si>
    <t xml:space="preserve">InfiniBand NDR (400G)</t>
  </si>
  <si>
    <t xml:space="preserve">Network (inter-node)</t>
  </si>
  <si>
    <t xml:space="preserve">~400 Gb/s = 50 GB/s per port. Inter-node TP is possible but latency + bandwidth make it a last resort vs intra-node NVLink.</t>
  </si>
  <si>
    <t xml:space="preserve">Qwen3.8-27B — Model Architecture &amp; Serving Inputs</t>
  </si>
  <si>
    <t xml:space="preserve">Source: huggingface.co/Qwen/Qwen3.8-27B (model card). Yellow cells are editable inputs; green cells are auto-pulled from the Silicon sheet. Every other sheet reads these via named ranges, so a single change here propagates everywhere.</t>
  </si>
  <si>
    <t xml:space="preserve">Serving Workload Parameters (shared across all calculation sheets)</t>
  </si>
  <si>
    <t xml:space="preserve">Parameter</t>
  </si>
  <si>
    <t xml:space="preserve">Value</t>
  </si>
  <si>
    <t xml:space="preserve">Unit</t>
  </si>
  <si>
    <t xml:space="preserve">Concurrency (B) — max concurrent sequences</t>
  </si>
  <si>
    <t xml:space="preserve">sequences</t>
  </si>
  <si>
    <t xml:space="preserve">Batch size / vLLM max_num_seqs</t>
  </si>
  <si>
    <t xml:space="preserve">Input tokens per sequence (L, prefill length)</t>
  </si>
  <si>
    <t xml:space="preserve">tokens</t>
  </si>
  <si>
    <t xml:space="preserve">Prompt length</t>
  </si>
  <si>
    <t xml:space="preserve">Output tokens per sequence (max generated)</t>
  </si>
  <si>
    <t xml:space="preserve">Max new tokens</t>
  </si>
  <si>
    <t xml:space="preserve">Decode context length (L_ctx)</t>
  </si>
  <si>
    <t xml:space="preserve">Context length at the decode step being costed. Default = input+output (end-of-generation, worst case). Overwrite with a fixed number to model an earlier point in generation.</t>
  </si>
  <si>
    <t xml:space="preserve">Weight dtype bytes/param</t>
  </si>
  <si>
    <t xml:space="preserve">bytes</t>
  </si>
  <si>
    <t xml:space="preserve">BF16/FP16=2, FP8=1, INT4=0.5</t>
  </si>
  <si>
    <t xml:space="preserve">KV-cache dtype bytes/element</t>
  </si>
  <si>
    <t xml:space="preserve">BF16/FP16=2, FP8=1</t>
  </si>
  <si>
    <t xml:space="preserve">Activation / runtime overhead</t>
  </si>
  <si>
    <t xml:space="preserve">fraction</t>
  </si>
  <si>
    <t xml:space="preserve">vLLM/SGLang workspace, CUDA graphs, block tables — engine dependent estimate</t>
  </si>
  <si>
    <t xml:space="preserve">Achievable compute efficiency</t>
  </si>
  <si>
    <t xml:space="preserve">Realistic % of peak FLOPS achieved by real kernels (launch overhead, imperfect overlap)</t>
  </si>
  <si>
    <t xml:space="preserve">DeltaNet kernel constant (c)</t>
  </si>
  <si>
    <t xml:space="preserve">—</t>
  </si>
  <si>
    <t xml:space="preserve">Approximates extra matmuls in the chunked delta-rule update (correction/beta gate, chunk-local state, output readout). Kernel-dependent — validate against profiled kernel FLOPs.</t>
  </si>
  <si>
    <t xml:space="preserve">Silicon Selection (drives GPU peak TFLOPS + memory bandwidth for downstream calculations)</t>
  </si>
  <si>
    <t xml:space="preserve">Selected silicon</t>
  </si>
  <si>
    <t xml:space="preserve">Pick from the Silicon sheet (dropdown) — every downstream TFLOPS/GB figure below is pulled from that row.</t>
  </si>
  <si>
    <t xml:space="preserve">Compute precision</t>
  </si>
  <si>
    <t xml:space="preserve">BF16</t>
  </si>
  <si>
    <t xml:space="preserve">BF16, FP8, or FP4 — selects which dense TFLOPS column is pulled from the Silicon sheet.</t>
  </si>
  <si>
    <t xml:space="preserve">Peak TFLOPS (dense, pulled)</t>
  </si>
  <si>
    <t xml:space="preserve">TFLOPS</t>
  </si>
  <si>
    <t xml:space="preserve">Auto-pulled from Silicon sheet. Blank/0 result = vendor has not disclosed a dense figure at this precision for this part — pick a different precision or silicon.</t>
  </si>
  <si>
    <t xml:space="preserve">Memory bandwidth (pulled)</t>
  </si>
  <si>
    <t xml:space="preserve">GB/s</t>
  </si>
  <si>
    <t xml:space="preserve">Auto-pulled from Silicon sheet.</t>
  </si>
  <si>
    <t xml:space="preserve">Memory capacity (pulled, reference)</t>
  </si>
  <si>
    <t xml:space="preserve">GB</t>
  </si>
  <si>
    <t xml:space="preserve">Auto-pulled — single-chip VRAM/HBM capacity, used by the VRAM Calculation sheet's fit-check.</t>
  </si>
  <si>
    <t xml:space="preserve">Memory type (pulled, reference)</t>
  </si>
  <si>
    <t xml:space="preserve">Auto-pulled.</t>
  </si>
  <si>
    <t xml:space="preserve">Interconnect (pulled, reference)</t>
  </si>
  <si>
    <t xml:space="preserve">Auto-pulled PCIe lanes/generation, or NVLink note.</t>
  </si>
  <si>
    <t xml:space="preserve">Model Architecture Parameters — Qwen3.8-27B</t>
  </si>
  <si>
    <t xml:space="preserve">Total parameters</t>
  </si>
  <si>
    <t xml:space="preserve">B params</t>
  </si>
  <si>
    <t xml:space="preserve">Dense (non-MoE), BF16 safetensors</t>
  </si>
  <si>
    <t xml:space="preserve">Total layers</t>
  </si>
  <si>
    <t xml:space="preserve">layers</t>
  </si>
  <si>
    <t xml:space="preserve">16 x (3x Gated DeltaNet + 1x Gated Attention)</t>
  </si>
  <si>
    <t xml:space="preserve">Full-attention layers</t>
  </si>
  <si>
    <t xml:space="preserve">1 of every 4 layers</t>
  </si>
  <si>
    <t xml:space="preserve">Gated DeltaNet layers</t>
  </si>
  <si>
    <t xml:space="preserve">3 of every 4 layers</t>
  </si>
  <si>
    <t xml:space="preserve">Hidden dimension</t>
  </si>
  <si>
    <t xml:space="preserve">FFN intermediate dimension</t>
  </si>
  <si>
    <t xml:space="preserve">Vocabulary size</t>
  </si>
  <si>
    <t xml:space="preserve">Padded token embedding</t>
  </si>
  <si>
    <t xml:space="preserve">Native context length</t>
  </si>
  <si>
    <t xml:space="preserve">Extended context length (YaRN)</t>
  </si>
  <si>
    <t xml:space="preserve">Full-attention: Q heads (n_q)</t>
  </si>
  <si>
    <t xml:space="preserve">heads</t>
  </si>
  <si>
    <t xml:space="preserve">GQA</t>
  </si>
  <si>
    <t xml:space="preserve">Full-attention: KV heads</t>
  </si>
  <si>
    <t xml:space="preserve">GQA, 6:1 Q:KV ratio</t>
  </si>
  <si>
    <t xml:space="preserve">Full-attention: head dimension</t>
  </si>
  <si>
    <t xml:space="preserve">Full-attention: RoPE dimension</t>
  </si>
  <si>
    <t xml:space="preserve">DeltaNet: V heads</t>
  </si>
  <si>
    <t xml:space="preserve">DeltaNet: QK heads</t>
  </si>
  <si>
    <t xml:space="preserve">DeltaNet: head dimension</t>
  </si>
  <si>
    <t xml:space="preserve">Used for both K and V dims of the recurrent state matrix</t>
  </si>
  <si>
    <t xml:space="preserve">Multi-token prediction (MTP)</t>
  </si>
  <si>
    <t xml:space="preserve">Yes</t>
  </si>
  <si>
    <t xml:space="preserve">Trained with MTP; not included in the serving FLOP model below</t>
  </si>
  <si>
    <t xml:space="preserve">Tensor-Parallelism &amp; Interconnect (drives the Prefill-TP sheet)</t>
  </si>
  <si>
    <t xml:space="preserve">Tensor-parallel degree (TP)</t>
  </si>
  <si>
    <t xml:space="preserve">GPUs</t>
  </si>
  <si>
    <t xml:space="preserve">Number of cards the model is sharded across for tensor parallelism.</t>
  </si>
  <si>
    <t xml:space="preserve">Selected interconnect</t>
  </si>
  <si>
    <t xml:space="preserve">Pick from the Silicon sheet's Interconnect Reference (dropdown). Link BW + latency below are pulled from it.</t>
  </si>
  <si>
    <t xml:space="preserve">Link bandwidth (pulled)</t>
  </si>
  <si>
    <t xml:space="preserve">Auto-pulled from the selected interconnect.</t>
  </si>
  <si>
    <t xml:space="preserve">All-reduce latency (pulled)</t>
  </si>
  <si>
    <t xml:space="preserve">µs/hop</t>
  </si>
  <si>
    <t xml:space="preserve">Auto-pulled; latency term of the ring all-reduce.</t>
  </si>
  <si>
    <t xml:space="preserve">Collective ops per layer</t>
  </si>
  <si>
    <t xml:space="preserve">all-reduces</t>
  </si>
  <si>
    <t xml:space="preserve">Standard Megatron TP = 2 per layer (after token-mixing, after FFN). Edit for fused/SP variants.</t>
  </si>
  <si>
    <t xml:space="preserve">Activation dtype bytes</t>
  </si>
  <si>
    <t xml:space="preserve">All-reduce message element size. Activations usually BF16 (2 B) even under FP8 weights.</t>
  </si>
  <si>
    <t xml:space="preserve">Hidden dimension (for comm)</t>
  </si>
  <si>
    <t xml:space="preserve">Activation tensor is [B x L x hidden]; drives all-reduce message size.</t>
  </si>
  <si>
    <t xml:space="preserve">Inter-Node Parallelism (drives the Decode Multi-Node sheet)</t>
  </si>
  <si>
    <t xml:space="preserve">Number of nodes</t>
  </si>
  <si>
    <t xml:space="preserve">nodes</t>
  </si>
  <si>
    <t xml:space="preserve">How many physical servers the deployment spans.</t>
  </si>
  <si>
    <t xml:space="preserve">GPUs per node</t>
  </si>
  <si>
    <t xml:space="preserve">e.g. 8 for an H100 HGX box.</t>
  </si>
  <si>
    <t xml:space="preserve">Intra-node TP degree</t>
  </si>
  <si>
    <t xml:space="preserve">Tensor-parallel width WITHIN a node (uses the intra-node NVLink fabric = the 'Selected interconnect' above).</t>
  </si>
  <si>
    <t xml:space="preserve">Selected inter-node fabric</t>
  </si>
  <si>
    <t xml:space="preserve">The fabric CROSSING node boundaries (dropdown from the Silicon Interconnect Reference). Typically much slower/higher-latency than intra-node NVLink.</t>
  </si>
  <si>
    <t xml:space="preserve">Inter-node link BW (pulled)</t>
  </si>
  <si>
    <t xml:space="preserve">Auto-pulled from the selected inter-node fabric.</t>
  </si>
  <si>
    <t xml:space="preserve">Inter-node latency (pulled)</t>
  </si>
  <si>
    <t xml:space="preserve">Auto-pulled; the latency term that dominates decode collectives.</t>
  </si>
  <si>
    <t xml:space="preserve">Pipeline-parallel stages (inter-node)</t>
  </si>
  <si>
    <t xml:space="preserve">stages</t>
  </si>
  <si>
    <t xml:space="preserve">For the PP scenario: how many pipeline stages the layers are split into across nodes.</t>
  </si>
  <si>
    <t xml:space="preserve">In-flight microbatches (PP)</t>
  </si>
  <si>
    <t xml:space="preserve">microbatches</t>
  </si>
  <si>
    <t xml:space="preserve">Concurrent request groups keeping the pipeline full — higher hides more bubble. Continuous batching supplies these.</t>
  </si>
  <si>
    <t xml:space="preserve">Prefill Efficiency Stack &amp; Overhead (replaces the single 'efficiency' for prefill compute)</t>
  </si>
  <si>
    <t xml:space="preserve">GEMM MFU (best-case dense)</t>
  </si>
  <si>
    <t xml:space="preserve">Peak achievable on a big dense matmul on this silicon — your microbenchmark number (~145/183.5 = 0.78; using 0.70 as a steady-state GEMM figure).</t>
  </si>
  <si>
    <t xml:space="preserve">Hybrid+stack compute derate (CALIBRATED)</t>
  </si>
  <si>
    <t xml:space="preserve">Everything a FLOP-only model misses on the COMPUTE side: the 48 memory-bound / low-MFU Gated DeltaNet scan layers, causal convs, 128 RMSNorms, QK/L2-norms, SiLU/sigmoid gates, RoPE, kernel-launch overhead and XPU/vLLM stack maturity. Calibrated so the model reproduces the measured TTFT — re-fit from the Prefill Calibration sheet when you profile.</t>
  </si>
  <si>
    <t xml:space="preserve">Effective compute MFU</t>
  </si>
  <si>
    <t xml:space="preserve">GEMM MFU x derate. This is the fraction of peak the COMPUTE actually sustains (before comm &amp; overhead).</t>
  </si>
  <si>
    <t xml:space="preserve">Communication efficiency</t>
  </si>
  <si>
    <t xml:space="preserve">Fraction of theoretical link bandwidth the all-reduce collective actually realizes (oneCCL/NCCL over the selected fabric). Lowers if the PCIe/Xe-Link path is poor.</t>
  </si>
  <si>
    <t xml:space="preserve">VRAM Calculation</t>
  </si>
  <si>
    <t xml:space="preserve">All inputs pulled from 'Model Architecture'. Change Concurrency, InputTokens, OutputTokens or dtypes there and every value below recalculates. Units normalized to GB (decimal, 1e9 bytes) throughout, matching vendor-quoted capacity figures on the Silicon sheet.</t>
  </si>
  <si>
    <t xml:space="preserve">#</t>
  </si>
  <si>
    <t xml:space="preserve">Component</t>
  </si>
  <si>
    <t xml:space="preserve">Description</t>
  </si>
  <si>
    <t xml:space="preserve">Algebraic Formula</t>
  </si>
  <si>
    <t xml:space="preserve">Notes / Source</t>
  </si>
  <si>
    <t xml:space="preserve">Model weights</t>
  </si>
  <si>
    <t xml:space="preserve">Total weight memory — constant, independent of concurrency or context length</t>
  </si>
  <si>
    <t xml:space="preserve">N x weight_dtype_bytes / 1e9</t>
  </si>
  <si>
    <t xml:space="preserve">N = Params named range (ParamsB x 1e9)</t>
  </si>
  <si>
    <t xml:space="preserve">KV cache — full-attention layers</t>
  </si>
  <si>
    <t xml:space="preserve">Grows with concurrency x (input+output tokens); only the 16 full-attention layers hold a growing cache</t>
  </si>
  <si>
    <t xml:space="preserve">2 x kv_heads x head_dim x kv_bytes x full_attn_layers x concurrency x (input_tok+output_tok) / 1e9</t>
  </si>
  <si>
    <t xml:space="preserve">2x = separate K and V tensors</t>
  </si>
  <si>
    <t xml:space="preserve">KV cache — DeltaNet recurrent state</t>
  </si>
  <si>
    <t xml:space="preserve">Fixed-size state per sequence; scales with concurrency only, NOT with context length (this is the hybrid-architecture saving)</t>
  </si>
  <si>
    <t xml:space="preserve">v_heads x head_dim^2 x kv_bytes x delta_layers x concurrency / 1e9</t>
  </si>
  <si>
    <t xml:space="preserve">State matrix per head is head_dim x head_dim (K-dim x V-dim, both = DHeadDim)</t>
  </si>
  <si>
    <t xml:space="preserve">Subtotal (weights + KV cache)</t>
  </si>
  <si>
    <t xml:space="preserve">Sum of rows 1-3</t>
  </si>
  <si>
    <t xml:space="preserve">row1 + row2 + row3</t>
  </si>
  <si>
    <t xml:space="preserve">CUDA graphs, workspace buffers, PagedAttention block-table overhead — engine-dependent margin</t>
  </si>
  <si>
    <t xml:space="preserve">subtotal x overhead_pct</t>
  </si>
  <si>
    <t xml:space="preserve">OverheadPct is an editable assumption on sheet 1, not a first-principles term</t>
  </si>
  <si>
    <t xml:space="preserve">TOTAL VRAM REQUIRED</t>
  </si>
  <si>
    <t xml:space="preserve">Sum of subtotal + overhead</t>
  </si>
  <si>
    <t xml:space="preserve">subtotal + overhead</t>
  </si>
  <si>
    <t xml:space="preserve">This is the number to size GPU count/type against</t>
  </si>
  <si>
    <t xml:space="preserve">GPU capacity check</t>
  </si>
  <si>
    <t xml:space="preserve">GPU config</t>
  </si>
  <si>
    <t xml:space="preserve">VRAM capacity (GB)</t>
  </si>
  <si>
    <t xml:space="preserve">Fits? (capacity &gt;= total required)</t>
  </si>
  <si>
    <t xml:space="preserve">Selected silicon (from Model Architecture)</t>
  </si>
  <si>
    <t xml:space="preserve">1x RTX 4090 / L4</t>
  </si>
  <si>
    <t xml:space="preserve">1x L40S</t>
  </si>
  <si>
    <t xml:space="preserve">1x A100 80GB / H100</t>
  </si>
  <si>
    <t xml:space="preserve">1x H200</t>
  </si>
  <si>
    <t xml:space="preserve">1x MI300X</t>
  </si>
  <si>
    <t xml:space="preserve">2x H100</t>
  </si>
  <si>
    <t xml:space="preserve">4x H100</t>
  </si>
  <si>
    <t xml:space="preserve">8x H100</t>
  </si>
  <si>
    <t xml:space="preserve">Prefill FLOPs / TFLOPS Calculation</t>
  </si>
  <si>
    <t xml:space="preserve">Prefill processes the full prompt (InputTokens) in one pass across Concurrency sequences. Full-attention layers cost O(L^2); DeltaNet layers cost O(L). All compute terms are expressed directly in TFLOP (FLOPs / 1e12), consistent with the Silicon sheet's TFLOPS units.</t>
  </si>
  <si>
    <t xml:space="preserve">Dense term (all layers)</t>
  </si>
  <si>
    <t xml:space="preserve">Every weight matrix (QKVO projections + FFN) touched once per token, standard 2xparamsxtokens approximation</t>
  </si>
  <si>
    <t xml:space="preserve">2 x N x L x B / 1e12</t>
  </si>
  <si>
    <t xml:space="preserve">TFLOP</t>
  </si>
  <si>
    <t xml:space="preserve">N=Params, L=InputTokens, B=Concurrency</t>
  </si>
  <si>
    <t xml:space="preserve">Full-attention term (16 layers) — O(L^2)</t>
  </si>
  <si>
    <t xml:space="preserve">QK^T + softmax.V per head, halved for causal masking (avg query attends to L/2 keys)</t>
  </si>
  <si>
    <t xml:space="preserve">2 x n_q x head_dim x L^2 x B x full_attn_layers / 1e12</t>
  </si>
  <si>
    <t xml:space="preserve">Quadratic in prompt length — dominant term at long context</t>
  </si>
  <si>
    <t xml:space="preserve">DeltaNet term (48 layers) — O(L)</t>
  </si>
  <si>
    <t xml:space="preserve">Chunked parallel-scan delta-rule update used at prefill time; linear in sequence length</t>
  </si>
  <si>
    <t xml:space="preserve">c x v_heads x head_dim^2 x L x B x delta_layers / 1e12</t>
  </si>
  <si>
    <t xml:space="preserve">c is a kernel-dependent constant set on sheet 1 — validate against profiled kernel</t>
  </si>
  <si>
    <t xml:space="preserve">TOTAL PREFILL COMPUTE</t>
  </si>
  <si>
    <t xml:space="preserve">Estimated compute time</t>
  </si>
  <si>
    <t xml:space="preserve">Assumes prefill is compute-bound (high arithmetic intensity — see explanation below). TFLOP / (TFLOPS x efficiency) = seconds directly, no unit conversion needed.</t>
  </si>
  <si>
    <t xml:space="preserve">total_TFLOP / (peak_TFLOPS x efficiency)</t>
  </si>
  <si>
    <t xml:space="preserve">seconds</t>
  </si>
  <si>
    <t xml:space="preserve">Now uses Effective compute MFU (GEMM MFU x hybrid+stack derate), not the old flat efficiency.</t>
  </si>
  <si>
    <t xml:space="preserve">Achieved TFLOPS</t>
  </si>
  <si>
    <t xml:space="preserve">Back-calculated throughput at the estimated compute time</t>
  </si>
  <si>
    <t xml:space="preserve">total_TFLOP / time</t>
  </si>
  <si>
    <t xml:space="preserve">Should equal peak_TFLOPS x efficiency by construction — sanity check</t>
  </si>
  <si>
    <t xml:space="preserve">Why prefill is compute-bound (context, not a computed row)</t>
  </si>
  <si>
    <t xml:space="preserve">With B x L tokens processed in one pass, each weight read from HBM is reused across many tokens, so arithmetic intensity (FLOPs per byte moved) is high. Throughput therefore tracks GPU peak FLOPS reasonably well — the O(L^2) full-attention term is what erodes that efficiency as prompt length grows. Contrast with the Decode-BW sheet, where a single new token per sequence means intensity collapses and bandwidth dominates instead.</t>
  </si>
  <si>
    <t xml:space="preserve">Prefill under Tensor Parallelism — compute + communication</t>
  </si>
  <si>
    <t xml:space="preserve">Compute shards across TP GPUs (near-ideal, prefill is compute-bound). Communication adds 2 all-reduces/layer on the [B x L x hidden] activation tensor — cost set by the selected interconnect. TP degree and interconnect are chosen on the Model Architecture sheet. All compute in TFLOP, all data volume in GB, times in seconds.</t>
  </si>
  <si>
    <t xml:space="preserve">A.  Single-GPU baseline (un-sharded)</t>
  </si>
  <si>
    <t xml:space="preserve">A1</t>
  </si>
  <si>
    <t xml:space="preserve">Total prefill compute</t>
  </si>
  <si>
    <t xml:space="preserve">Pulled from the Prefill TFLOPs sheet (row 4: dense + O(L^2) attention + O(L) DeltaNet)</t>
  </si>
  <si>
    <t xml:space="preserve">Prefill TFLOPs!total (row 4)</t>
  </si>
  <si>
    <t xml:space="preserve">Same workload (B, L) as everywhere else</t>
  </si>
  <si>
    <t xml:space="preserve">A2</t>
  </si>
  <si>
    <t xml:space="preserve">Single-GPU compute time</t>
  </si>
  <si>
    <t xml:space="preserve">Whole model on one card, compute-bound</t>
  </si>
  <si>
    <t xml:space="preserve">The reference point for speedup. No communication on 1 GPU.</t>
  </si>
  <si>
    <t xml:space="preserve">B.  Compute at the selected TP degree</t>
  </si>
  <si>
    <t xml:space="preserve">B1</t>
  </si>
  <si>
    <t xml:space="preserve">Per-GPU compute</t>
  </si>
  <si>
    <t xml:space="preserve">Every FLOP term (weights + heads) shards across TP GPUs</t>
  </si>
  <si>
    <t xml:space="preserve">total_TFLOP / TP</t>
  </si>
  <si>
    <t xml:space="preserve">TFLOP/GPU</t>
  </si>
  <si>
    <t xml:space="preserve">Weights sharded (Megatron col/row split); attention + DeltaNet sharded by heads</t>
  </si>
  <si>
    <t xml:space="preserve">B2</t>
  </si>
  <si>
    <t xml:space="preserve">Per-GPU compute time</t>
  </si>
  <si>
    <t xml:space="preserve">Sharded compute, still compute-bound</t>
  </si>
  <si>
    <t xml:space="preserve">(total_TFLOP / TP) / (peak_TFLOPS x efficiency)</t>
  </si>
  <si>
    <t xml:space="preserve">This is T_compute(TP). Divides ~linearly with TP.</t>
  </si>
  <si>
    <t xml:space="preserve">C.  Communication — ring all-reduce cost</t>
  </si>
  <si>
    <t xml:space="preserve">C1</t>
  </si>
  <si>
    <t xml:space="preserve">All-reduce message size</t>
  </si>
  <si>
    <t xml:space="preserve">The activation tensor reduced after each sublayer</t>
  </si>
  <si>
    <t xml:space="preserve">B x L x hidden x act_bytes / 1e9</t>
  </si>
  <si>
    <t xml:space="preserve">Independent of layer type — DeltaNet and full-attn layers all-reduce the same [B,L,hidden]</t>
  </si>
  <si>
    <t xml:space="preserve">C2</t>
  </si>
  <si>
    <t xml:space="preserve">Number of all-reduces</t>
  </si>
  <si>
    <t xml:space="preserve">collective ops per layer x total layers</t>
  </si>
  <si>
    <t xml:space="preserve">coll_per_layer x total_layers</t>
  </si>
  <si>
    <t xml:space="preserve">Standard Megatron TP: 2/layer x 64 layers = 128</t>
  </si>
  <si>
    <t xml:space="preserve">C3</t>
  </si>
  <si>
    <t xml:space="preserve">Bandwidth term (per all-reduce)</t>
  </si>
  <si>
    <t xml:space="preserve">Ring all-reduce data movement per GPU</t>
  </si>
  <si>
    <t xml:space="preserve">2 x (TP-1)/TP x msg_GB / link_BW_GBs</t>
  </si>
  <si>
    <t xml:space="preserve">Dominant term for large prefill activation tensors</t>
  </si>
  <si>
    <t xml:space="preserve">C4</t>
  </si>
  <si>
    <t xml:space="preserve">Latency term (per all-reduce)</t>
  </si>
  <si>
    <t xml:space="preserve">Ring hop latency, 2(TP-1) hops</t>
  </si>
  <si>
    <t xml:space="preserve">2 x (TP-1) x latency_us / 1e6</t>
  </si>
  <si>
    <t xml:space="preserve">Small vs bandwidth term when messages are large</t>
  </si>
  <si>
    <t xml:space="preserve">C5</t>
  </si>
  <si>
    <t xml:space="preserve">Total communication time</t>
  </si>
  <si>
    <t xml:space="preserve">All all-reduces across the whole forward pass</t>
  </si>
  <si>
    <t xml:space="preserve">n_all_reduces x (bw_term + latency_term)</t>
  </si>
  <si>
    <t xml:space="preserve">This is T_comm(TP). Zero at TP=1.</t>
  </si>
  <si>
    <t xml:space="preserve">D.  Wall-clock, speedup &amp; parallel efficiency</t>
  </si>
  <si>
    <t xml:space="preserve">D1</t>
  </si>
  <si>
    <t xml:space="preserve">Prefill wall-clock (no overlap)</t>
  </si>
  <si>
    <t xml:space="preserve">All-reduce is a hard sync point in vanilla TP, so compute + comm are additive</t>
  </si>
  <si>
    <t xml:space="preserve">(T_compute + T_comm) x (1 + overhead)</t>
  </si>
  <si>
    <t xml:space="preserve">Overhead (0.12) now applied here — previously omitted from the prefill wall-clock.</t>
  </si>
  <si>
    <t xml:space="preserve">D2</t>
  </si>
  <si>
    <t xml:space="preserve">Speedup vs 1 GPU</t>
  </si>
  <si>
    <t xml:space="preserve">How much faster than the single-GPU baseline</t>
  </si>
  <si>
    <t xml:space="preserve">T_single / T_total(TP)</t>
  </si>
  <si>
    <t xml:space="preserve">x</t>
  </si>
  <si>
    <t xml:space="preserve">Ideal would be = TP; the gap is the communication tax</t>
  </si>
  <si>
    <t xml:space="preserve">D3</t>
  </si>
  <si>
    <t xml:space="preserve">Parallel efficiency</t>
  </si>
  <si>
    <t xml:space="preserve">Speedup as a fraction of the ideal linear speedup</t>
  </si>
  <si>
    <t xml:space="preserve">speedup / TP</t>
  </si>
  <si>
    <t xml:space="preserve">&gt;0.8 is healthy; &lt;0.55 means the interconnect is eating the gains</t>
  </si>
  <si>
    <t xml:space="preserve">D4</t>
  </si>
  <si>
    <t xml:space="preserve">Regime verdict</t>
  </si>
  <si>
    <t xml:space="preserve">Which side dominates at this TP + interconnect</t>
  </si>
  <si>
    <t xml:space="preserve">IF(T_comm &gt; T_compute, "Communication-bound", "Compute-bound scaling")</t>
  </si>
  <si>
    <t xml:space="preserve">E.  TP sweep — where scaling breaks down (independent of the selected TP above)</t>
  </si>
  <si>
    <t xml:space="preserve">TP</t>
  </si>
  <si>
    <t xml:space="preserve">Per-GPU compute (s)</t>
  </si>
  <si>
    <t xml:space="preserve">Comm (s)</t>
  </si>
  <si>
    <t xml:space="preserve">Total (s)</t>
  </si>
  <si>
    <t xml:space="preserve">Speedup (x)</t>
  </si>
  <si>
    <t xml:space="preserve">Regime</t>
  </si>
  <si>
    <t xml:space="preserve">Assumptions to validate</t>
  </si>
  <si>
    <t xml:space="preserve">1) COMPUTE-COMM OVERLAP: wall-clock (D1) assumes NO overlap (additive). Real TP implementations overlap some communication with compute; the true time lies between D1 and pure per-GPU compute (B2). 2) HYBRID ARCHITECTURE DOES NOT HELP COMMS: every one of the 64 layers all-reduces the same [B,L,hidden] activation regardless of whether it is a DeltaNet or a full-attention layer — unlike the KV-cache saving, TP communication scales with ALL layers. DeltaNet recurrent state shards by head and needs no extra cross-GPU exchange, so it is no worse than attention, just not better. 3) KV-HEAD SHARDING CEILING: the attention layers have only 4 KV heads, so they shard cleanly only to TP=4. At TP=8 each KV head is replicated across 2 GPUs (standard in vLLM) — correct, but costs a little redundant KV memory. Q heads (24) and DeltaNet heads (48/16) shard cleanly to TP=8+. 4) RING ALL-REDUCE MODEL: assumes a bandwidth-optimal ring collective at the selected link bandwidth. Real NCCL achieves ~70-85% of theoretical; scale LinkBW down accordingly for a conservative estimate. 5) COMPUTE:COMM RATIO IS ~INDEPENDENT OF B and L for the dense term (both scale with B*L). The O(L^2) attention term adds compute without adding comm, so LONG-context prefill is MORE TP-friendly — raise L on the Model Architecture sheet to see efficiency improve. 6) INTER-NODE: the InfiniBand row models cross-node TP, which is usually avoided — keep TP within an NVLink island and use pipeline/data parallelism across nodes.</t>
  </si>
  <si>
    <t xml:space="preserve">Prefill Calibration — model vs. measured (TP4, Arc Pro B70)</t>
  </si>
  <si>
    <t xml:space="preserve">Back out the ACHIEVED TFLOPS/GPU from real runs, and check the refactored model against them. The 'Measured TTFT' column is editable (yellow) — paste your own runs. The hybrid+stack derate on the Model Architecture sheet is the single knob to fit; once fit at one point it should track the others because achieved throughput is ~flat in concurrency. Compute in TFLOP, times in seconds.</t>
  </si>
  <si>
    <t xml:space="preserve">A.  Achieved throughput implied by measured TTFT</t>
  </si>
  <si>
    <t xml:space="preserve">Concurrency B</t>
  </si>
  <si>
    <t xml:space="preserve">Measured TTFT (s)</t>
  </si>
  <si>
    <t xml:space="preserve">Total FLOP (TFLOP)</t>
  </si>
  <si>
    <t xml:space="preserve">Per-GPU FLOP (TFLOP)</t>
  </si>
  <si>
    <t xml:space="preserve">Achieved TFLOPS/GPU</t>
  </si>
  <si>
    <t xml:space="preserve">Achieved MFU (vs peak)</t>
  </si>
  <si>
    <t xml:space="preserve">Model TTFT (s)</t>
  </si>
  <si>
    <t xml:space="preserve">Model error</t>
  </si>
  <si>
    <t xml:space="preserve">Mean achieved MFU</t>
  </si>
  <si>
    <t xml:space="preserve">Mean |error|</t>
  </si>
  <si>
    <t xml:space="preserve">B.  Where the time goes at the selected operating point (Concurrency from Model Architecture)</t>
  </si>
  <si>
    <t xml:space="preserve">Compute time  (Eff compute MFU)</t>
  </si>
  <si>
    <t xml:space="preserve">seconds — dense GEMM + attention at the effective compute MFU</t>
  </si>
  <si>
    <t xml:space="preserve">Communication time  (all-reduce, comm-eff derated)</t>
  </si>
  <si>
    <t xml:space="preserve">seconds — 128 all-reduces over the selected fabric</t>
  </si>
  <si>
    <t xml:space="preserve">Subtotal</t>
  </si>
  <si>
    <t xml:space="preserve">seconds — before overhead</t>
  </si>
  <si>
    <t xml:space="preserve">Overhead  (x OverheadPct)</t>
  </si>
  <si>
    <t xml:space="preserve">seconds — runtime/workspace/graph overhead, now applied</t>
  </si>
  <si>
    <t xml:space="preserve">MODEL PREFILL WALL-CLOCK (TTFT)</t>
  </si>
  <si>
    <t xml:space="preserve">seconds — compare to your measured TTFT at this B</t>
  </si>
  <si>
    <t xml:space="preserve">How to use / what this captures</t>
  </si>
  <si>
    <t xml:space="preserve">The gap between the old FLOP-only model (~9.3 s) and reality (15.5 s) is almost entirely COMPUTE efficiency, not communication: backing achieved throughput out of every measured row gives a near-constant ~60-66 TFLOPS/GPU = ~33% of the B70's 183.5 peak, versus the 0.70 the old model assumed. A pure dense-transformer prefill really is ~all-GEMM and the old model works for it; this model is 3/4 Gated DeltaNet layers whose chunked recurrent scan, convs, norms, gates and RoPE burn wall-clock far out of proportion to their tiny FLOP share (DeltaNet is 0.33% of FLOPs but a large share of time). The 'hybrid+stack compute derate' lumps that together with kernel-launch overhead and XPU/vLLM maturity. A single measured point can't uniquely separate compute-derate from comm-efficiency (both scale ~linearly with B) — to split them, profile one run (e.g. vLLM XPU profiler): measure the all-reduce time directly, set Communication efficiency from it, then let the derate absorb the remaining compute gap. The derate is ~shape-stable in B but should be re-checked when L or TP change materially.</t>
  </si>
  <si>
    <t xml:space="preserve">Decode FLOPs / TFLOPS Calculation (per token-generation step)</t>
  </si>
  <si>
    <t xml:space="preserve">Decode generates ONE new token per sequence per step, attending against DecodeContextLen already-cached tokens. Full-attention cost collapses from O(L^2) to O(L_ctx); DeltaNet stays O(1). All compute terms expressed directly in TFLOP, consistent with the Silicon sheet's TFLOPS units.</t>
  </si>
  <si>
    <t xml:space="preserve">Dense term (per step)</t>
  </si>
  <si>
    <t xml:space="preserve">Same weight matrices as prefill, but only 1 new token per sequence this step</t>
  </si>
  <si>
    <t xml:space="preserve">2 x N x B / 1e12</t>
  </si>
  <si>
    <t xml:space="preserve">Full-attention term (16 layers) — O(L_ctx)</t>
  </si>
  <si>
    <t xml:space="preserve">1 new query attends to L_ctx cached keys — no causal-mask halving needed (every key is valid)</t>
  </si>
  <si>
    <t xml:space="preserve">2 x n_q x head_dim x L_ctx x B x full_attn_layers / 1e12</t>
  </si>
  <si>
    <t xml:space="preserve">Linear in context length, not quadratic — quadratic cost was already paid at prefill</t>
  </si>
  <si>
    <t xml:space="preserve">DeltaNet term (48 layers) — O(1)</t>
  </si>
  <si>
    <t xml:space="preserve">Fixed-size recurrent state update — completely independent of context length</t>
  </si>
  <si>
    <t xml:space="preserve">c x v_heads x head_dim^2 x B x delta_layers / 1e12</t>
  </si>
  <si>
    <t xml:space="preserve">No L_ctx term at all — this is the structural saving of the hybrid design</t>
  </si>
  <si>
    <t xml:space="preserve">TOTAL DECODE COMPUTE / step</t>
  </si>
  <si>
    <t xml:space="preserve">Estimated compute time / step</t>
  </si>
  <si>
    <t xml:space="preserve">Compute-bound estimate only — see Decode-BW sheet for the bandwidth-bound estimate, which is usually the binding constraint</t>
  </si>
  <si>
    <t xml:space="preserve">Achieved TFLOPS (compute-bound assumption)</t>
  </si>
  <si>
    <t xml:space="preserve">Back-calculated from the compute-bound time above</t>
  </si>
  <si>
    <t xml:space="preserve">In practice decode rarely hits this — cross-check against Decode-BW sheet</t>
  </si>
  <si>
    <t xml:space="preserve">Important caveat (context, not a computed row)</t>
  </si>
  <si>
    <t xml:space="preserve">This sheet's 'estimated compute time' assumes decode is compute-bound, which is almost never true at low concurrency. At B=1, decode FLOPs are tiny (~2xN) but the ENTIRE weight set must still be streamed from HBM to produce one token — arithmetic intensity is very low, far below any modern GPU's compute:bandwidth ridge point. See the 'Decode BW' sheet for the bandwidth-bound time, which is the realistic binding constraint, and the roofline verdict that picks whichever is larger.</t>
  </si>
  <si>
    <t xml:space="preserve">Decode across Multiple Nodes — TP vs PP vs DP</t>
  </si>
  <si>
    <t xml:space="preserve">Decode is bandwidth-bound and latency-sensitive; crossing a node boundary attacks time-per-output-token (TPOT), not FLOPs. This sheet compares the three ways to span nodes against the same per-token baseline. Inter-node fabric + PP/DP knobs are on the Model Architecture sheet. Times in ms/token, throughput in tokens/s.</t>
  </si>
  <si>
    <t xml:space="preserve">A.  Single-node decode baseline (per output token)</t>
  </si>
  <si>
    <t xml:space="preserve">Bytes moved / token</t>
  </si>
  <si>
    <t xml:space="preserve">Weights + KV (16 attn layers) + DeltaNet state (48 layers) — pulled from the Decode BW sheet</t>
  </si>
  <si>
    <t xml:space="preserve">Decode BW!total_bytes (row 4)</t>
  </si>
  <si>
    <t xml:space="preserve">Bandwidth-bound: this is what sets the step time</t>
  </si>
  <si>
    <t xml:space="preserve">Intra-node aggregate bandwidth</t>
  </si>
  <si>
    <t xml:space="preserve">Per-GPU HBM BW x intra-node TP (all TP GPUs stream weights/KV in parallel)</t>
  </si>
  <si>
    <t xml:space="preserve">mem_bandwidth_GBs x intra_TP</t>
  </si>
  <si>
    <t xml:space="preserve">TP shards weights+KV, so effective BW scales with TP within the node</t>
  </si>
  <si>
    <t xml:space="preserve">A3</t>
  </si>
  <si>
    <t xml:space="preserve">Baseline step time (bandwidth-bound)</t>
  </si>
  <si>
    <t xml:space="preserve">Time to move the per-token bytes at aggregate intra-node BW</t>
  </si>
  <si>
    <t xml:space="preserve">bytes_per_token / agg_bandwidth x 1000</t>
  </si>
  <si>
    <t xml:space="preserve">ms/token</t>
  </si>
  <si>
    <t xml:space="preserve">The floor TPOT before any inter-node penalty. (Bytes shard across TP, so bytes/agg_BW = per-GPU bytes / per-GPU BW.)</t>
  </si>
  <si>
    <t xml:space="preserve">B.  Scenario 1 — Tensor parallelism ACROSS nodes (usually the wrong choice)</t>
  </si>
  <si>
    <t xml:space="preserve">All-reduce message / token</t>
  </si>
  <si>
    <t xml:space="preserve">One new token per sequence -&gt; activation is [B x 1 x hidden], tiny</t>
  </si>
  <si>
    <t xml:space="preserve">B x 1 x hidden x act_bytes / 1e9</t>
  </si>
  <si>
    <t xml:space="preserve">~0.0003 GB at B=32 — bandwidth is NOT the problem here, latency is</t>
  </si>
  <si>
    <t xml:space="preserve">All-reduces / token</t>
  </si>
  <si>
    <t xml:space="preserve">2 per layer x all layers — paid EVERY token</t>
  </si>
  <si>
    <t xml:space="preserve">collectives</t>
  </si>
  <si>
    <t xml:space="preserve">128 hard syncs on the critical path per token</t>
  </si>
  <si>
    <t xml:space="preserve">B3</t>
  </si>
  <si>
    <t xml:space="preserve">Total TP degree (spanning nodes)</t>
  </si>
  <si>
    <t xml:space="preserve">Intra-node TP x nodes — the ring now crosses the slow fabric</t>
  </si>
  <si>
    <t xml:space="preserve">intra_TP x nodes</t>
  </si>
  <si>
    <t xml:space="preserve">The all-reduce ring includes inter-node hops</t>
  </si>
  <si>
    <t xml:space="preserve">B4</t>
  </si>
  <si>
    <t xml:space="preserve">Inter-node collective time / token</t>
  </si>
  <si>
    <t xml:space="preserve">Ring all-reduce over the INTER-NODE fabric, latency-dominated for tiny messages</t>
  </si>
  <si>
    <t xml:space="preserve">n_AR x [ 2(TP-1)/TP x msg/inter_BW + 2(TP-1) x inter_lat ]</t>
  </si>
  <si>
    <t xml:space="preserve">This is added ON TOP of the compute step, every token</t>
  </si>
  <si>
    <t xml:space="preserve">B5</t>
  </si>
  <si>
    <t xml:space="preserve">TP-across-nodes TPOT</t>
  </si>
  <si>
    <t xml:space="preserve">Baseline step + inter-node collective penalty</t>
  </si>
  <si>
    <t xml:space="preserve">baseline_step + inter_node_collective_time</t>
  </si>
  <si>
    <t xml:space="preserve">Compare against baseline — the delta is pure latency loss</t>
  </si>
  <si>
    <t xml:space="preserve">C.  Scenario 2 — Pipeline parallelism ACROSS nodes (workable for throughput)</t>
  </si>
  <si>
    <t xml:space="preserve">Stage-boundary sends / token</t>
  </si>
  <si>
    <t xml:space="preserve">PP only ships activations at stage boundaries — point-to-point, not collectives</t>
  </si>
  <si>
    <t xml:space="preserve">pp_stages - 1</t>
  </si>
  <si>
    <t xml:space="preserve">sends</t>
  </si>
  <si>
    <t xml:space="preserve">One [B x 1 x hidden] send per boundary per token</t>
  </si>
  <si>
    <t xml:space="preserve">Handoff latency / token</t>
  </si>
  <si>
    <t xml:space="preserve">Serial traversal of stage boundaries across the inter-node fabric</t>
  </si>
  <si>
    <t xml:space="preserve">(pp_stages-1) x (msg/inter_BW + inter_lat)</t>
  </si>
  <si>
    <t xml:space="preserve">Far fewer inter-node ops than TP (boundaries, not 128 collectives)</t>
  </si>
  <si>
    <t xml:space="preserve">Pipeline bubble factor</t>
  </si>
  <si>
    <t xml:space="preserve">Fraction of time a stage idles waiting for work; shrinks with more in-flight microbatches</t>
  </si>
  <si>
    <t xml:space="preserve">(pp_stages - 1) / in_flight_microbatches</t>
  </si>
  <si>
    <t xml:space="preserve">Continuous batching supplies microbatches to hide the bubble</t>
  </si>
  <si>
    <t xml:space="preserve">PP-across-nodes TPOT</t>
  </si>
  <si>
    <t xml:space="preserve">Baseline step inflated by the bubble, plus serial handoff latency</t>
  </si>
  <si>
    <t xml:space="preserve">baseline_step x (1 + bubble) + handoff_latency</t>
  </si>
  <si>
    <t xml:space="preserve">A token still traverses all stages serially; depth adds latency but comms shape fits a slow fabric</t>
  </si>
  <si>
    <t xml:space="preserve">D.  Scenario 3 — Data parallelism / replication (best fit for a 27.8B model)</t>
  </si>
  <si>
    <t xml:space="preserve">Replicas</t>
  </si>
  <si>
    <t xml:space="preserve">Whole model fits per node -&gt; replicate and route requests. Zero forward-pass inter-node traffic.</t>
  </si>
  <si>
    <t xml:space="preserve">nodes (1 replica per node, intra-node TP inside)</t>
  </si>
  <si>
    <t xml:space="preserve">replicas</t>
  </si>
  <si>
    <t xml:space="preserve">Model weights (55.6 GB BF16) fit in a single 80GB GPU/node</t>
  </si>
  <si>
    <t xml:space="preserve">DP TPOT</t>
  </si>
  <si>
    <t xml:space="preserve">Per-token latency identical to single node — no inter-node sync in the forward pass</t>
  </si>
  <si>
    <t xml:space="preserve">baseline_step (unchanged)</t>
  </si>
  <si>
    <t xml:space="preserve">Latency is not degraded; you scale throughput, not per-token speed</t>
  </si>
  <si>
    <t xml:space="preserve">Aggregate throughput</t>
  </si>
  <si>
    <t xml:space="preserve">Per-replica throughput x replicas — linear scaling</t>
  </si>
  <si>
    <t xml:space="preserve">(concurrency / TPOT_seconds) x replicas</t>
  </si>
  <si>
    <t xml:space="preserve">tokens/s</t>
  </si>
  <si>
    <t xml:space="preserve">The metric DP actually improves</t>
  </si>
  <si>
    <t xml:space="preserve">E.  Side-by-side — TPOT and per-token inter-node penalty</t>
  </si>
  <si>
    <t xml:space="preserve">Strategy</t>
  </si>
  <si>
    <t xml:space="preserve">TPOT (ms/token)</t>
  </si>
  <si>
    <t xml:space="preserve">vs baseline</t>
  </si>
  <si>
    <t xml:space="preserve">Inter-node ops/token</t>
  </si>
  <si>
    <t xml:space="preserve">Comms shape</t>
  </si>
  <si>
    <t xml:space="preserve">Verdict</t>
  </si>
  <si>
    <t xml:space="preserve">TP across nodes</t>
  </si>
  <si>
    <t xml:space="preserve">128 collectives/token (latency-bound)</t>
  </si>
  <si>
    <t xml:space="preserve">Avoid — doubles GPUs, slows each token</t>
  </si>
  <si>
    <t xml:space="preserve">PP across nodes</t>
  </si>
  <si>
    <t xml:space="preserve">(stages-1) P2P sends/token</t>
  </si>
  <si>
    <t xml:space="preserve">Workable if model must span nodes + high concurrency</t>
  </si>
  <si>
    <t xml:space="preserve">DP / replication</t>
  </si>
  <si>
    <t xml:space="preserve">0 (route at request level)</t>
  </si>
  <si>
    <t xml:space="preserve">Best fit — model fits per node, linear throughput</t>
  </si>
  <si>
    <t xml:space="preserve">Model notes &amp; assumptions to validate</t>
  </si>
  <si>
    <t xml:space="preserve">1) BANDWIDTH-BOUND BASELINE: A3 assumes decode is HBM-bandwidth-bound (true at the batch sizes here — see the Decode BW sheet's roofline verdict). If batching pushes decode compute-bound, substitute the compute-bound step time instead. 2) TP-ACROSS-NODES IS LATENCY-BOUND: the all-reduce message is tiny (B x 1 x hidden), so the bandwidth term is negligible and the 2(TP-1) x latency term dominates, paid 128x per token. This is why inter-node TP wrecks TPOT even on a fast-bandwidth fabric — latency, not bandwidth, is the killer. 3) PP BUBBLE MODEL is a first-order (stages-1)/microbatches approximation; real bubble depends on scheduler and request arrival. Raise 'In-flight microbatches' to see it shrink. 4) DP ASSUMES THE MODEL FITS PER NODE — true for Qwen3.8-27B (55.6 GB BF16 weights fit one 80GB GPU). For node-busting models (Kimi K3, large DeepSeek V4) DP-per-node is impossible and expert parallelism across nodes changes this analysis entirely. 5) HYBRID-ARCHITECTURE STICKINESS: the 48 DeltaNet layers hold a fixed-size RECURRENT STATE that is the sequence's memory and cannot be cheaply recomputed. Any scheme that migrates a sequence between nodes mid-generation (DP load-balancing, or a prefill-&gt;decode disaggregation handoff) must transfer BOTH the KV cache (16 layers) AND the recurrent state (48 layers). The state is fixed-size (transfer cost doesn't grow with context) but mandatory to move -&gt; a decoding request develops strong node affinity. 6) DISAGGREGATION (Dynamo): not modeled as a row here, but the inter-node cost becomes a single bulk KV+state transfer at the prefill-&gt;decode handoff rather than 128 per-token collectives — which suits a slow fabric. The hybrid design SHRINKS that handoff (fixed-size state for 48 layers vs a full growing cache for all 64 in a same-size dense transformer).</t>
  </si>
  <si>
    <t xml:space="preserve">Decode Bandwidth / Roofline Calculation (per token-generation step)</t>
  </si>
  <si>
    <t xml:space="preserve">Decode throughput is usually dictated by HBM bandwidth, not FLOPS. Bytes are normalized to GB (1e9); compute is normalized to TFLOP. Arithmetic intensity and the ridge point are both expressed in TFLOP/GB — a pure ratio, so no unit-conversion constants are needed anywhere on this sheet.</t>
  </si>
  <si>
    <t xml:space="preserve">Bytes — model weights</t>
  </si>
  <si>
    <t xml:space="preserve">Entire weight set must be streamed from HBM once per step, regardless of batch size, to produce any output</t>
  </si>
  <si>
    <t xml:space="preserve">GB/step</t>
  </si>
  <si>
    <t xml:space="preserve">Batching amortizes this read across B tokens — the core lever for decode throughput</t>
  </si>
  <si>
    <t xml:space="preserve">Bytes — KV cache read (full-attention, 16 layers)</t>
  </si>
  <si>
    <t xml:space="preserve">Growing K/V cache must be read back from HBM at every step for the 16 full-attention layers</t>
  </si>
  <si>
    <t xml:space="preserve">2 x kv_heads x head_dim x kv_bytes x full_attn_layers x L_ctx x B / 1e9</t>
  </si>
  <si>
    <t xml:space="preserve">Scales with context length AND concurrency — the classic KV-cache bandwidth tax</t>
  </si>
  <si>
    <t xml:space="preserve">Bytes — DeltaNet state read (48 layers)</t>
  </si>
  <si>
    <t xml:space="preserve">Fixed-size recurrent state read per sequence — independent of context length</t>
  </si>
  <si>
    <t xml:space="preserve">v_heads x head_dim^2 x kv_bytes x delta_layers x B / 1e9</t>
  </si>
  <si>
    <t xml:space="preserve">Second bandwidth saving of the hybrid design, layered on top of the FLOP saving</t>
  </si>
  <si>
    <t xml:space="preserve">TOTAL BYTES MOVED / step</t>
  </si>
  <si>
    <t xml:space="preserve">Arithmetic intensity</t>
  </si>
  <si>
    <t xml:space="preserve">TFLOP moved per GB — the key roofline metric. Cross-references TOTAL DECODE COMPUTE from the 'Decode TFLOPs' sheet. Because both numerator (TFLOP) and denominator (GB) already carry the same 1e12/1e9 scaling as PeakTFLOPS and BandwidthGBs, this ratio compares directly against the ridge point below with no extra conversion.</t>
  </si>
  <si>
    <t xml:space="preserve">total_decode_TFLOP / total_GB</t>
  </si>
  <si>
    <t xml:space="preserve">TFLOP/GB</t>
  </si>
  <si>
    <t xml:space="preserve">Numerator pulled from 'Decode TFLOPs' sheet, row 4 (TOTAL DECODE COMPUTE / step)</t>
  </si>
  <si>
    <t xml:space="preserve">GPU ridge point</t>
  </si>
  <si>
    <t xml:space="preserve">The compute:bandwidth crossover — below this intensity, a GPU is bandwidth-bound; above it, compute-bound. Peak TFLOPS / bandwidth GB/s reduces cleanly to TFLOP/GB — the 'per second' on both sides cancels.</t>
  </si>
  <si>
    <t xml:space="preserve">peak_TFLOPS / bandwidth_GBs</t>
  </si>
  <si>
    <t xml:space="preserve">H100 SXM5 default: 989 TFLOPS / 3,350 GB/s = ~0.30 TFLOP/GB</t>
  </si>
  <si>
    <t xml:space="preserve">IF intensity &lt; ridge point -&gt; memory-bandwidth-bound, else compute-bound</t>
  </si>
  <si>
    <t xml:space="preserve">IF(intensity &lt; ridge_point, "Memory-bound", "Compute-bound")</t>
  </si>
  <si>
    <t xml:space="preserve">Raise Concurrency to push intensity up toward (or past) the ridge point</t>
  </si>
  <si>
    <t xml:space="preserve">Time — bandwidth-bound</t>
  </si>
  <si>
    <t xml:space="preserve">Time to move total bytes at the GPU's HBM bandwidth. GB / (GB/s) = seconds directly.</t>
  </si>
  <si>
    <t xml:space="preserve">total_GB / bandwidth_GBs</t>
  </si>
  <si>
    <t xml:space="preserve">Time — compute-bound</t>
  </si>
  <si>
    <t xml:space="preserve">Pulled directly from the 'Decode TFLOPs' sheet (row 5: Estimated compute time / step)</t>
  </si>
  <si>
    <t xml:space="preserve">Decode TFLOPs!compute_time (row 5)</t>
  </si>
  <si>
    <t xml:space="preserve">Cross-sheet link — will move if Efficiency, PeakTFLOPS or FLOP terms change</t>
  </si>
  <si>
    <t xml:space="preserve">Step time (binding constraint)</t>
  </si>
  <si>
    <t xml:space="preserve">The larger of the two candidate times is the real bottleneck</t>
  </si>
  <si>
    <t xml:space="preserve">MAX(bandwidth_time, compute_time)</t>
  </si>
  <si>
    <t xml:space="preserve">Estimated decode throughput</t>
  </si>
  <si>
    <t xml:space="preserve">Tokens generated per second across the whole batch, at the binding step time</t>
  </si>
  <si>
    <t xml:space="preserve">concurrency / step_time</t>
  </si>
  <si>
    <t xml:space="preserve">tokens/sec</t>
  </si>
  <si>
    <t xml:space="preserve">Roofline model — assumptions to validate</t>
  </si>
  <si>
    <t xml:space="preserve">1) Weight bytes are counted once per step regardless of batch size B — correct only if all B sequences share the same resident weights in one batched kernel launch (true for standard continuous batching, not for pipeline-bubble edge cases). 2) KV-cache and DeltaNet-state bytes scale linearly with B, i.e. each sequence's cache is read independently — no cross-request sharing/prefix-caching benefit is modeled here; RadixAttention-style sharing would reduce the KV-read term. 3) The compute-bound time (row 9) uses the same 'Efficiency' fudge factor as prefill; decode kernels typically run at lower efficiency than prefill due to smaller per-kernel work, so treat the compute-bound estimate as optimistic. 4) 'Arithmetic intensity' and 'ridge point' are expressed here in TFLOP/GB rather than the textbook FLOP/Byte — the ratio and the memory-bound/compute-bound comparison are identical either way; only the absolute number's scale differs (by exactly 1000x), chosen for unit consistency with the rest of this workbook. 5) Selected silicon's precision (BF16/FP8/FP4) is chosen on the Model Architecture sheet — if running FP8 compute, switch it there for a tighter estimate; PeakTFLOPS updates automatically.</t>
  </si>
</sst>
</file>

<file path=xl/styles.xml><?xml version="1.0" encoding="utf-8"?>
<styleSheet xmlns="http://schemas.openxmlformats.org/spreadsheetml/2006/main">
  <numFmts count="14">
    <numFmt numFmtId="164" formatCode="General"/>
    <numFmt numFmtId="165" formatCode="#,##0.0"/>
    <numFmt numFmtId="166" formatCode="#,##0.####"/>
    <numFmt numFmtId="167" formatCode="General"/>
    <numFmt numFmtId="168" formatCode="#,##0.00"/>
    <numFmt numFmtId="169" formatCode="#,##0"/>
    <numFmt numFmtId="170" formatCode="0.000000"/>
    <numFmt numFmtId="171" formatCode="0.0000"/>
    <numFmt numFmtId="172" formatCode="0.0%"/>
    <numFmt numFmtId="173" formatCode="@"/>
    <numFmt numFmtId="174" formatCode="#,##0.000"/>
    <numFmt numFmtId="175" formatCode="#,##0.000000"/>
    <numFmt numFmtId="176" formatCode="#,##0.00\x"/>
    <numFmt numFmtId="177" formatCode="#,##0.0000"/>
  </numFmts>
  <fonts count="17">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666666"/>
      <name val="Arial"/>
      <family val="0"/>
      <charset val="1"/>
    </font>
    <font>
      <b val="true"/>
      <sz val="10"/>
      <color rgb="FFFFFFFF"/>
      <name val="Arial"/>
      <family val="0"/>
      <charset val="1"/>
    </font>
    <font>
      <b val="true"/>
      <sz val="10"/>
      <name val="Arial"/>
      <family val="0"/>
      <charset val="1"/>
    </font>
    <font>
      <sz val="10"/>
      <color rgb="FF000000"/>
      <name val="Arial"/>
      <family val="0"/>
      <charset val="1"/>
    </font>
    <font>
      <b val="true"/>
      <sz val="11"/>
      <color rgb="FFFFFFFF"/>
      <name val="Arial"/>
      <family val="0"/>
      <charset val="1"/>
    </font>
    <font>
      <sz val="10"/>
      <color rgb="FF0000FF"/>
      <name val="Arial"/>
      <family val="0"/>
      <charset val="1"/>
    </font>
    <font>
      <sz val="10"/>
      <name val="Arial"/>
      <family val="0"/>
      <charset val="1"/>
    </font>
    <font>
      <i val="true"/>
      <sz val="10"/>
      <color rgb="FF444444"/>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13">
    <fill>
      <patternFill patternType="none"/>
    </fill>
    <fill>
      <patternFill patternType="gray125"/>
    </fill>
    <fill>
      <patternFill patternType="solid">
        <fgColor rgb="FF1F2937"/>
        <bgColor rgb="FF374151"/>
      </patternFill>
    </fill>
    <fill>
      <patternFill patternType="solid">
        <fgColor rgb="FFF3F4F6"/>
        <bgColor rgb="FFEEF2FF"/>
      </patternFill>
    </fill>
    <fill>
      <patternFill patternType="solid">
        <fgColor rgb="FFFFFFFF"/>
        <bgColor rgb="FFF3F4F6"/>
      </patternFill>
    </fill>
    <fill>
      <patternFill patternType="solid">
        <fgColor rgb="FFEEF2FF"/>
        <bgColor rgb="FFF3F4F6"/>
      </patternFill>
    </fill>
    <fill>
      <patternFill patternType="solid">
        <fgColor rgb="FF374151"/>
        <bgColor rgb="FF444444"/>
      </patternFill>
    </fill>
    <fill>
      <patternFill patternType="solid">
        <fgColor rgb="FFFFF9C4"/>
        <bgColor rgb="FFFFF3CD"/>
      </patternFill>
    </fill>
    <fill>
      <patternFill patternType="solid">
        <fgColor rgb="FFDCE6F1"/>
        <bgColor rgb="FFE2F0D9"/>
      </patternFill>
    </fill>
    <fill>
      <patternFill patternType="solid">
        <fgColor rgb="FFE2F0D9"/>
        <bgColor rgb="FFDCE6F1"/>
      </patternFill>
    </fill>
    <fill>
      <patternFill patternType="solid">
        <fgColor rgb="FFFBE9D0"/>
        <bgColor rgb="FFFBE4DA"/>
      </patternFill>
    </fill>
    <fill>
      <patternFill patternType="solid">
        <fgColor rgb="FFFFF3CD"/>
        <bgColor rgb="FFFFF9C4"/>
      </patternFill>
    </fill>
    <fill>
      <patternFill patternType="solid">
        <fgColor rgb="FFFBE4DA"/>
        <bgColor rgb="FFFBE9D0"/>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5" fontId="8" fillId="3"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4" fontId="7" fillId="4" borderId="1" xfId="0" applyFont="true" applyBorder="tru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5" fontId="8" fillId="4" borderId="1" xfId="0" applyFont="true" applyBorder="true" applyAlignment="true" applyProtection="false">
      <alignment horizontal="general" vertical="center" textRotation="0" wrapText="true" indent="0" shrinkToFit="false"/>
      <protection locked="true" hidden="false"/>
    </xf>
    <xf numFmtId="164" fontId="5" fillId="4" borderId="1" xfId="0" applyFont="true" applyBorder="true" applyAlignment="true" applyProtection="false">
      <alignment horizontal="general" vertical="center" textRotation="0" wrapText="true" indent="0" shrinkToFit="false"/>
      <protection locked="true" hidden="false"/>
    </xf>
    <xf numFmtId="164" fontId="7" fillId="5"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5" fontId="8" fillId="5" borderId="1" xfId="0" applyFont="true" applyBorder="true" applyAlignment="true" applyProtection="false">
      <alignment horizontal="general" vertical="center" textRotation="0" wrapText="true" indent="0" shrinkToFit="false"/>
      <protection locked="true" hidden="false"/>
    </xf>
    <xf numFmtId="164" fontId="5" fillId="5" borderId="1" xfId="0" applyFont="true" applyBorder="true" applyAlignment="true" applyProtection="false">
      <alignment horizontal="general" vertical="center" textRotation="0" wrapText="tru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5" fontId="8"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6" fontId="10" fillId="7"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7" fontId="8" fillId="8" borderId="1" xfId="0" applyFont="true" applyBorder="true" applyAlignment="true" applyProtection="false">
      <alignment horizontal="general" vertical="bottom" textRotation="0" wrapText="false" indent="0" shrinkToFit="false"/>
      <protection locked="true" hidden="false"/>
    </xf>
    <xf numFmtId="164" fontId="10" fillId="7" borderId="1" xfId="0" applyFont="true" applyBorder="true" applyAlignment="true" applyProtection="false">
      <alignment horizontal="general" vertical="bottom" textRotation="0" wrapText="false" indent="0" shrinkToFit="false"/>
      <protection locked="true" hidden="false"/>
    </xf>
    <xf numFmtId="165" fontId="8" fillId="9" borderId="1" xfId="0" applyFont="true" applyBorder="true" applyAlignment="true" applyProtection="false">
      <alignment horizontal="general" vertical="bottom" textRotation="0" wrapText="false" indent="0" shrinkToFit="false"/>
      <protection locked="true" hidden="false"/>
    </xf>
    <xf numFmtId="164" fontId="8" fillId="9"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10" fillId="7"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8" fillId="10" borderId="1" xfId="0" applyFont="true" applyBorder="true" applyAlignment="false" applyProtection="false">
      <alignment horizontal="general" vertical="bottom" textRotation="0" wrapText="false" indent="0" shrinkToFit="false"/>
      <protection locked="true" hidden="false"/>
    </xf>
    <xf numFmtId="167" fontId="8" fillId="9"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8" fontId="8" fillId="0" borderId="1" xfId="0" applyFont="true" applyBorder="true" applyAlignment="true" applyProtection="false">
      <alignment horizontal="general" vertical="center" textRotation="0" wrapText="true" indent="0" shrinkToFit="false"/>
      <protection locked="true" hidden="false"/>
    </xf>
    <xf numFmtId="164" fontId="8" fillId="8" borderId="1" xfId="0" applyFont="true" applyBorder="true" applyAlignment="true" applyProtection="false">
      <alignment horizontal="general" vertical="center" textRotation="0" wrapText="true" indent="0" shrinkToFit="false"/>
      <protection locked="true" hidden="false"/>
    </xf>
    <xf numFmtId="164" fontId="7" fillId="8" borderId="1" xfId="0" applyFont="true" applyBorder="true" applyAlignment="true" applyProtection="false">
      <alignment horizontal="general" vertical="center" textRotation="0" wrapText="true" indent="0" shrinkToFit="false"/>
      <protection locked="true" hidden="false"/>
    </xf>
    <xf numFmtId="164" fontId="5" fillId="8" borderId="1" xfId="0" applyFont="true" applyBorder="true" applyAlignment="true" applyProtection="false">
      <alignment horizontal="general" vertical="center" textRotation="0" wrapText="true" indent="0" shrinkToFit="false"/>
      <protection locked="true" hidden="false"/>
    </xf>
    <xf numFmtId="164" fontId="12" fillId="8" borderId="1" xfId="0" applyFont="true" applyBorder="true" applyAlignment="true" applyProtection="false">
      <alignment horizontal="general" vertical="center" textRotation="0" wrapText="true" indent="0" shrinkToFit="false"/>
      <protection locked="true" hidden="false"/>
    </xf>
    <xf numFmtId="168" fontId="8" fillId="8" borderId="1" xfId="0" applyFont="true" applyBorder="true" applyAlignment="true" applyProtection="false">
      <alignment horizontal="general" vertical="center" textRotation="0" wrapText="true" indent="0" shrinkToFit="false"/>
      <protection locked="true" hidden="false"/>
    </xf>
    <xf numFmtId="164" fontId="13" fillId="9" borderId="1" xfId="0" applyFont="true" applyBorder="true" applyAlignment="true" applyProtection="false">
      <alignment horizontal="general" vertical="bottom" textRotation="0" wrapText="false" indent="0" shrinkToFit="false"/>
      <protection locked="true" hidden="false"/>
    </xf>
    <xf numFmtId="165" fontId="13" fillId="9" borderId="1" xfId="0" applyFont="true" applyBorder="true" applyAlignment="true" applyProtection="false">
      <alignment horizontal="general" vertical="bottom" textRotation="0" wrapText="fals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70" fontId="8" fillId="0" borderId="1" xfId="0" applyFont="true" applyBorder="true" applyAlignment="true" applyProtection="false">
      <alignment horizontal="general" vertical="center" textRotation="0" wrapText="true" indent="0" shrinkToFit="false"/>
      <protection locked="true" hidden="false"/>
    </xf>
    <xf numFmtId="169" fontId="8" fillId="0" borderId="1" xfId="0" applyFont="true" applyBorder="true" applyAlignment="true" applyProtection="false">
      <alignment horizontal="general" vertical="center" textRotation="0" wrapText="true" indent="0" shrinkToFit="false"/>
      <protection locked="true" hidden="false"/>
    </xf>
    <xf numFmtId="168" fontId="13" fillId="0" borderId="1" xfId="0" applyFont="true" applyBorder="true" applyAlignment="true" applyProtection="false">
      <alignment horizontal="general" vertical="center" textRotation="0" wrapText="true" indent="0" shrinkToFit="false"/>
      <protection locked="true" hidden="false"/>
    </xf>
    <xf numFmtId="171" fontId="8" fillId="0" borderId="1" xfId="0" applyFont="true" applyBorder="true" applyAlignment="true" applyProtection="false">
      <alignment horizontal="general" vertical="center" textRotation="0" wrapText="true" indent="0" shrinkToFit="false"/>
      <protection locked="true" hidden="false"/>
    </xf>
    <xf numFmtId="171" fontId="8" fillId="8" borderId="1" xfId="0" applyFont="true" applyBorder="true" applyAlignment="true" applyProtection="false">
      <alignment horizontal="general" vertical="center" textRotation="0" wrapText="true" indent="0" shrinkToFit="false"/>
      <protection locked="true" hidden="false"/>
    </xf>
    <xf numFmtId="172" fontId="8" fillId="0" borderId="1" xfId="0" applyFont="true" applyBorder="true" applyAlignment="true" applyProtection="false">
      <alignment horizontal="general" vertical="center" textRotation="0" wrapText="true" indent="0" shrinkToFit="false"/>
      <protection locked="true" hidden="false"/>
    </xf>
    <xf numFmtId="164" fontId="8" fillId="11" borderId="1" xfId="0" applyFont="true" applyBorder="true" applyAlignment="true" applyProtection="false">
      <alignment horizontal="general" vertical="center" textRotation="0" wrapText="true" indent="0" shrinkToFit="false"/>
      <protection locked="true" hidden="false"/>
    </xf>
    <xf numFmtId="164" fontId="11" fillId="11" borderId="1" xfId="0" applyFont="true" applyBorder="true" applyAlignment="true" applyProtection="false">
      <alignment horizontal="general" vertical="center" textRotation="0" wrapText="true" indent="0" shrinkToFit="false"/>
      <protection locked="true" hidden="false"/>
    </xf>
    <xf numFmtId="164" fontId="5" fillId="11" borderId="1" xfId="0" applyFont="true" applyBorder="true" applyAlignment="true" applyProtection="false">
      <alignment horizontal="general" vertical="center" textRotation="0" wrapText="true" indent="0" shrinkToFit="false"/>
      <protection locked="true" hidden="false"/>
    </xf>
    <xf numFmtId="164" fontId="12" fillId="11" borderId="1" xfId="0" applyFont="true" applyBorder="true" applyAlignment="true" applyProtection="false">
      <alignment horizontal="general" vertical="center" textRotation="0" wrapText="true" indent="0" shrinkToFit="false"/>
      <protection locked="true" hidden="false"/>
    </xf>
    <xf numFmtId="173" fontId="8" fillId="11"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71" fontId="8" fillId="0" borderId="1" xfId="0" applyFont="true" applyBorder="true" applyAlignment="true" applyProtection="false">
      <alignment horizontal="general" vertical="center" textRotation="0" wrapText="false" indent="0" shrinkToFit="false"/>
      <protection locked="true" hidden="false"/>
    </xf>
    <xf numFmtId="168" fontId="8" fillId="0" borderId="1" xfId="0" applyFont="true" applyBorder="true" applyAlignment="true" applyProtection="false">
      <alignment horizontal="general" vertical="center" textRotation="0" wrapText="false" indent="0" shrinkToFit="false"/>
      <protection locked="true" hidden="false"/>
    </xf>
    <xf numFmtId="172" fontId="8" fillId="0" borderId="1" xfId="0" applyFont="true" applyBorder="true" applyAlignment="true" applyProtection="false">
      <alignment horizontal="general" vertical="center"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0" fillId="7" borderId="1" xfId="0" applyFont="true" applyBorder="true" applyAlignment="true" applyProtection="false">
      <alignment horizontal="general" vertical="center" textRotation="0" wrapText="false" indent="0" shrinkToFit="false"/>
      <protection locked="true" hidden="false"/>
    </xf>
    <xf numFmtId="174" fontId="10" fillId="7" borderId="1" xfId="0" applyFont="true" applyBorder="true" applyAlignment="true" applyProtection="false">
      <alignment horizontal="general" vertical="center" textRotation="0" wrapText="false" indent="0" shrinkToFit="false"/>
      <protection locked="true" hidden="false"/>
    </xf>
    <xf numFmtId="168" fontId="7" fillId="0" borderId="1"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2" fontId="7" fillId="8"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4" fontId="13"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74" fontId="13" fillId="8" borderId="1" xfId="0" applyFont="true" applyBorder="true" applyAlignment="false" applyProtection="false">
      <alignment horizontal="general" vertical="bottom" textRotation="0" wrapText="false" indent="0" shrinkToFit="false"/>
      <protection locked="true" hidden="false"/>
    </xf>
    <xf numFmtId="164" fontId="5" fillId="8" borderId="1" xfId="0" applyFont="true" applyBorder="true" applyAlignment="false" applyProtection="false">
      <alignment horizontal="general" vertical="bottom" textRotation="0" wrapText="false" indent="0" shrinkToFit="false"/>
      <protection locked="true" hidden="false"/>
    </xf>
    <xf numFmtId="174" fontId="13" fillId="0" borderId="1" xfId="0" applyFont="true" applyBorder="true" applyAlignment="true" applyProtection="false">
      <alignment horizontal="general" vertical="center" textRotation="0" wrapText="true" indent="0" shrinkToFit="false"/>
      <protection locked="true" hidden="false"/>
    </xf>
    <xf numFmtId="174" fontId="8" fillId="8" borderId="1" xfId="0" applyFont="true" applyBorder="true" applyAlignment="true" applyProtection="false">
      <alignment horizontal="general" vertical="center" textRotation="0" wrapText="true" indent="0" shrinkToFit="false"/>
      <protection locked="true" hidden="false"/>
    </xf>
    <xf numFmtId="175" fontId="8" fillId="0" borderId="1" xfId="0" applyFont="true" applyBorder="true" applyAlignment="true" applyProtection="false">
      <alignment horizontal="general" vertical="center" textRotation="0" wrapText="true" indent="0" shrinkToFit="false"/>
      <protection locked="true" hidden="false"/>
    </xf>
    <xf numFmtId="174" fontId="8" fillId="0" borderId="1" xfId="0" applyFont="true" applyBorder="true" applyAlignment="true" applyProtection="false">
      <alignment horizontal="general" vertical="center" textRotation="0" wrapText="true" indent="0" shrinkToFit="false"/>
      <protection locked="true" hidden="false"/>
    </xf>
    <xf numFmtId="164" fontId="7" fillId="12" borderId="1" xfId="0" applyFont="true" applyBorder="true" applyAlignment="true" applyProtection="false">
      <alignment horizontal="general" vertical="center" textRotation="0" wrapText="true" indent="0" shrinkToFit="false"/>
      <protection locked="true" hidden="false"/>
    </xf>
    <xf numFmtId="174" fontId="8" fillId="12" borderId="1" xfId="0" applyFont="true" applyBorder="true" applyAlignment="true" applyProtection="false">
      <alignment horizontal="general" vertical="center" textRotation="0" wrapText="true" indent="0" shrinkToFit="false"/>
      <protection locked="true" hidden="false"/>
    </xf>
    <xf numFmtId="176" fontId="8" fillId="12" borderId="1" xfId="0" applyFont="true" applyBorder="true" applyAlignment="true" applyProtection="false">
      <alignment horizontal="general" vertical="center" textRotation="0" wrapText="true" indent="0" shrinkToFit="false"/>
      <protection locked="true" hidden="false"/>
    </xf>
    <xf numFmtId="164" fontId="5" fillId="12" borderId="1" xfId="0" applyFont="true" applyBorder="true" applyAlignment="true" applyProtection="false">
      <alignment horizontal="general" vertical="center" textRotation="0" wrapText="true" indent="0" shrinkToFit="false"/>
      <protection locked="true" hidden="false"/>
    </xf>
    <xf numFmtId="176" fontId="8" fillId="0" borderId="1" xfId="0" applyFont="true" applyBorder="true" applyAlignment="true" applyProtection="false">
      <alignment horizontal="general" vertical="center" textRotation="0" wrapText="true" indent="0" shrinkToFit="false"/>
      <protection locked="true" hidden="false"/>
    </xf>
    <xf numFmtId="164" fontId="7" fillId="9" borderId="1" xfId="0" applyFont="true" applyBorder="true" applyAlignment="true" applyProtection="false">
      <alignment horizontal="general" vertical="center" textRotation="0" wrapText="true" indent="0" shrinkToFit="false"/>
      <protection locked="true" hidden="false"/>
    </xf>
    <xf numFmtId="174" fontId="8" fillId="9" borderId="1" xfId="0" applyFont="true" applyBorder="true" applyAlignment="true" applyProtection="false">
      <alignment horizontal="general" vertical="center" textRotation="0" wrapText="true" indent="0" shrinkToFit="false"/>
      <protection locked="true" hidden="false"/>
    </xf>
    <xf numFmtId="176" fontId="8" fillId="9" borderId="1" xfId="0" applyFont="true" applyBorder="true" applyAlignment="true" applyProtection="false">
      <alignment horizontal="general" vertical="center" textRotation="0" wrapText="true" indent="0" shrinkToFit="false"/>
      <protection locked="true" hidden="false"/>
    </xf>
    <xf numFmtId="167" fontId="8" fillId="9" borderId="1" xfId="0" applyFont="true" applyBorder="true" applyAlignment="true" applyProtection="false">
      <alignment horizontal="general" vertical="center" textRotation="0" wrapText="true" indent="0" shrinkToFit="false"/>
      <protection locked="true" hidden="false"/>
    </xf>
    <xf numFmtId="164" fontId="5" fillId="9" borderId="1" xfId="0" applyFont="true" applyBorder="true" applyAlignment="true" applyProtection="false">
      <alignment horizontal="general" vertical="center" textRotation="0" wrapText="true" indent="0" shrinkToFit="false"/>
      <protection locked="true" hidden="false"/>
    </xf>
    <xf numFmtId="177" fontId="13" fillId="0" borderId="1" xfId="0" applyFont="true" applyBorder="true" applyAlignment="true" applyProtection="false">
      <alignment horizontal="general" vertical="center" textRotation="0" wrapText="true" indent="0" shrinkToFit="false"/>
      <protection locked="true" hidden="false"/>
    </xf>
    <xf numFmtId="177" fontId="8" fillId="0" borderId="1" xfId="0" applyFont="true" applyBorder="true" applyAlignment="true" applyProtection="false">
      <alignment horizontal="general" vertical="center" textRotation="0" wrapText="true" indent="0" shrinkToFit="false"/>
      <protection locked="true" hidden="false"/>
    </xf>
    <xf numFmtId="170" fontId="13" fillId="0" borderId="1" xfId="0" applyFont="true" applyBorder="true" applyAlignment="true" applyProtection="false">
      <alignment horizontal="general" vertical="center" textRotation="0" wrapText="true" indent="0" shrinkToFit="false"/>
      <protection locked="true" hidden="false"/>
    </xf>
    <xf numFmtId="170" fontId="8" fillId="8" borderId="1" xfId="0" applyFont="true" applyBorder="true" applyAlignment="true" applyProtection="false">
      <alignment horizontal="general" vertical="center" textRotation="0" wrapText="true" indent="0" shrinkToFit="false"/>
      <protection locked="true" hidden="false"/>
    </xf>
    <xf numFmtId="169" fontId="8" fillId="8"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FF9C4"/>
      <rgbColor rgb="FFEEF2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DCE6F1"/>
      <rgbColor rgb="FFE2F0D9"/>
      <rgbColor rgb="FFFFF3CD"/>
      <rgbColor rgb="FFD9D9D9"/>
      <rgbColor rgb="FFFBE9D0"/>
      <rgbColor rgb="FFF3F4F6"/>
      <rgbColor rgb="FFFBE4DA"/>
      <rgbColor rgb="FF3366FF"/>
      <rgbColor rgb="FF33CCCC"/>
      <rgbColor rgb="FF99CC00"/>
      <rgbColor rgb="FFFFCC00"/>
      <rgbColor rgb="FFFF9900"/>
      <rgbColor rgb="FFFF6600"/>
      <rgbColor rgb="FF666666"/>
      <rgbColor rgb="FF969696"/>
      <rgbColor rgb="FF003366"/>
      <rgbColor rgb="FF339966"/>
      <rgbColor rgb="FF003300"/>
      <rgbColor rgb="FF444444"/>
      <rgbColor rgb="FF993300"/>
      <rgbColor rgb="FF993366"/>
      <rgbColor rgb="FF374151"/>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Measured vs. model TTFT across concurrency</a:t>
            </a:r>
          </a:p>
        </c:rich>
      </c:tx>
      <c:overlay val="0"/>
      <c:spPr>
        <a:noFill/>
        <a:ln w="0">
          <a:noFill/>
        </a:ln>
      </c:spPr>
    </c:title>
    <c:autoTitleDeleted val="0"/>
    <c:plotArea>
      <c:lineChart>
        <c:grouping val="standard"/>
        <c:varyColors val="0"/>
        <c:ser>
          <c:idx val="0"/>
          <c:order val="0"/>
          <c:tx>
            <c:strRef>
              <c:f>'Prefill Calibration'!C5</c:f>
              <c:strCache>
                <c:ptCount val="1"/>
                <c:pt idx="0">
                  <c:v>Measured TTFT (s)</c:v>
                </c:pt>
              </c:strCache>
            </c:strRef>
          </c:tx>
          <c:spPr>
            <a:solidFill>
              <a:srgbClr val="ffffff"/>
            </a:solidFill>
            <a:ln w="0">
              <a:solidFill>
                <a:srgbClr val="ffffff"/>
              </a:solidFill>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'Prefill Calibration'!$B$6:$B$11</c:f>
              <c:strCache>
                <c:ptCount val="6"/>
                <c:pt idx="0">
                  <c:v>1</c:v>
                </c:pt>
                <c:pt idx="1">
                  <c:v>2</c:v>
                </c:pt>
                <c:pt idx="2">
                  <c:v>4</c:v>
                </c:pt>
                <c:pt idx="3">
                  <c:v>8</c:v>
                </c:pt>
                <c:pt idx="4">
                  <c:v>16</c:v>
                </c:pt>
                <c:pt idx="5">
                  <c:v>32</c:v>
                </c:pt>
              </c:strCache>
            </c:strRef>
          </c:cat>
          <c:val>
            <c:numRef>
              <c:f>'Prefill Calibration'!$C$6:$C$11</c:f>
              <c:numCache>
                <c:formatCode>#,##0.000</c:formatCode>
                <c:ptCount val="6"/>
                <c:pt idx="0">
                  <c:v>2.02844</c:v>
                </c:pt>
                <c:pt idx="1">
                  <c:v>3.75776</c:v>
                </c:pt>
                <c:pt idx="2">
                  <c:v>7.36066</c:v>
                </c:pt>
                <c:pt idx="3">
                  <c:v>15.48305</c:v>
                </c:pt>
                <c:pt idx="4">
                  <c:v>29.4712</c:v>
                </c:pt>
                <c:pt idx="5">
                  <c:v>56.99582</c:v>
                </c:pt>
              </c:numCache>
            </c:numRef>
          </c:val>
          <c:smooth val="1"/>
        </c:ser>
        <c:ser>
          <c:idx val="1"/>
          <c:order val="1"/>
          <c:tx>
            <c:strRef>
              <c:f>'Prefill Calibration'!H5</c:f>
              <c:strCache>
                <c:ptCount val="1"/>
                <c:pt idx="0">
                  <c:v>Model TTFT (s)</c:v>
                </c:pt>
              </c:strCache>
            </c:strRef>
          </c:tx>
          <c:spPr>
            <a:solidFill>
              <a:srgbClr val="ffffff"/>
            </a:solidFill>
            <a:ln w="0">
              <a:solidFill>
                <a:srgbClr val="ffffff"/>
              </a:solidFill>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'Prefill Calibration'!$B$6:$B$11</c:f>
              <c:strCache>
                <c:ptCount val="6"/>
                <c:pt idx="0">
                  <c:v>1</c:v>
                </c:pt>
                <c:pt idx="1">
                  <c:v>2</c:v>
                </c:pt>
                <c:pt idx="2">
                  <c:v>4</c:v>
                </c:pt>
                <c:pt idx="3">
                  <c:v>8</c:v>
                </c:pt>
                <c:pt idx="4">
                  <c:v>16</c:v>
                </c:pt>
                <c:pt idx="5">
                  <c:v>32</c:v>
                </c:pt>
              </c:strCache>
            </c:strRef>
          </c:cat>
          <c:val>
            <c:numRef>
              <c:f>'Prefill Calibration'!$H$6:$H$11</c:f>
              <c:numCache>
                <c:formatCode>#,##0.00</c:formatCode>
                <c:ptCount val="6"/>
                <c:pt idx="0">
                  <c:v>1.93658890483239</c:v>
                </c:pt>
                <c:pt idx="1">
                  <c:v>3.86973716966478</c:v>
                </c:pt>
                <c:pt idx="2">
                  <c:v>7.73603369932956</c:v>
                </c:pt>
                <c:pt idx="3">
                  <c:v>15.4686267586591</c:v>
                </c:pt>
                <c:pt idx="4">
                  <c:v>30.9338128773182</c:v>
                </c:pt>
                <c:pt idx="5">
                  <c:v>61.8641851146365</c:v>
                </c:pt>
              </c:numCache>
            </c:numRef>
          </c:val>
          <c:smooth val="1"/>
        </c:ser>
        <c:hiLowLines>
          <c:spPr>
            <a:ln w="0">
              <a:noFill/>
            </a:ln>
          </c:spPr>
        </c:hiLowLines>
        <c:marker val="0"/>
        <c:axId val="61587482"/>
        <c:axId val="64491054"/>
      </c:lineChart>
      <c:catAx>
        <c:axId val="6158748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Concurrency (B)</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4491054"/>
        <c:crosses val="autoZero"/>
        <c:auto val="1"/>
        <c:lblAlgn val="ctr"/>
        <c:lblOffset val="100"/>
        <c:noMultiLvlLbl val="0"/>
      </c:catAx>
      <c:valAx>
        <c:axId val="64491054"/>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TTFT (seconds)</a:t>
                </a:r>
              </a:p>
            </c:rich>
          </c:tx>
          <c:overlay val="0"/>
          <c:spPr>
            <a:noFill/>
            <a:ln w="0">
              <a:noFill/>
            </a:ln>
          </c:spPr>
        </c:title>
        <c:numFmt formatCode="#,##0.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158748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3</xdr:row>
      <xdr:rowOff>0</xdr:rowOff>
    </xdr:from>
    <xdr:to>
      <xdr:col>17</xdr:col>
      <xdr:colOff>388440</xdr:colOff>
      <xdr:row>15</xdr:row>
      <xdr:rowOff>133920</xdr:rowOff>
    </xdr:to>
    <xdr:pic>
      <xdr:nvPicPr>
        <xdr:cNvPr id="0" name="Picture 1" descr=""/>
        <xdr:cNvPicPr/>
      </xdr:nvPicPr>
      <xdr:blipFill>
        <a:blip r:embed="rId1"/>
        <a:srcRect l="14544" t="0" r="14421" b="0"/>
        <a:stretch/>
      </xdr:blipFill>
      <xdr:spPr>
        <a:xfrm>
          <a:off x="17649720" y="666720"/>
          <a:ext cx="2844720" cy="24199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23</xdr:row>
      <xdr:rowOff>78120</xdr:rowOff>
    </xdr:from>
    <xdr:to>
      <xdr:col>5</xdr:col>
      <xdr:colOff>473400</xdr:colOff>
      <xdr:row>38</xdr:row>
      <xdr:rowOff>100080</xdr:rowOff>
    </xdr:to>
    <xdr:graphicFrame>
      <xdr:nvGraphicFramePr>
        <xdr:cNvPr id="1" name="Chart 1"/>
        <xdr:cNvGraphicFramePr/>
      </xdr:nvGraphicFramePr>
      <xdr:xfrm>
        <a:off x="0" y="630540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1" width="26"/>
    <col collapsed="false" customWidth="true" hidden="false" outlineLevel="0" max="2" min="2" style="1" width="12"/>
    <col collapsed="false" customWidth="true" hidden="false" outlineLevel="0" max="3" min="3" style="1" width="13"/>
    <col collapsed="false" customWidth="true" hidden="false" outlineLevel="0" max="4" min="4" style="1" width="15"/>
    <col collapsed="false" customWidth="true" hidden="false" outlineLevel="0" max="5" min="5" style="1" width="13"/>
    <col collapsed="false" customWidth="true" hidden="false" outlineLevel="0" max="6" min="6" style="1" width="15"/>
    <col collapsed="false" customWidth="true" hidden="false" outlineLevel="0" max="7" min="7" style="1" width="13"/>
    <col collapsed="false" customWidth="true" hidden="false" outlineLevel="0" max="8" min="8" style="1" width="15"/>
    <col collapsed="false" customWidth="true" hidden="false" outlineLevel="0" max="9" min="9" style="1" width="26"/>
    <col collapsed="false" customWidth="true" hidden="false" outlineLevel="0" max="11" min="10" style="1" width="12"/>
    <col collapsed="false" customWidth="true" hidden="false" outlineLevel="0" max="12" min="12" style="1" width="20"/>
    <col collapsed="false" customWidth="true" hidden="false" outlineLevel="0" max="13" min="13" style="1" width="12"/>
    <col collapsed="false" customWidth="true" hidden="false" outlineLevel="0" max="14" min="14" style="1" width="60"/>
  </cols>
  <sheetData>
    <row r="1" customFormat="false" ht="21.75" hidden="false" customHeight="true" outlineLevel="0" collapsed="false">
      <c r="A1" s="2" t="s">
        <v>0</v>
      </c>
      <c r="B1" s="2"/>
      <c r="C1" s="2"/>
      <c r="D1" s="2"/>
      <c r="E1" s="2"/>
      <c r="F1" s="2"/>
      <c r="G1" s="2"/>
      <c r="H1" s="2"/>
      <c r="I1" s="2"/>
      <c r="J1" s="2"/>
      <c r="K1" s="2"/>
      <c r="L1" s="2"/>
      <c r="M1" s="2"/>
      <c r="N1" s="2"/>
    </row>
    <row r="2" customFormat="false" ht="15.75" hidden="false" customHeight="true" outlineLevel="0" collapsed="false">
      <c r="A2" s="3" t="s">
        <v>1</v>
      </c>
      <c r="B2" s="3"/>
      <c r="C2" s="3"/>
      <c r="D2" s="3"/>
      <c r="E2" s="3"/>
      <c r="F2" s="3"/>
      <c r="G2" s="3"/>
      <c r="H2" s="3"/>
      <c r="I2" s="3"/>
      <c r="J2" s="3"/>
      <c r="K2" s="3"/>
      <c r="L2" s="3"/>
      <c r="M2" s="3"/>
      <c r="N2" s="3"/>
    </row>
    <row r="4" customFormat="false" ht="34.5"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c r="N4" s="4" t="s">
        <v>15</v>
      </c>
    </row>
    <row r="5" customFormat="false" ht="57.75" hidden="false" customHeight="true" outlineLevel="0" collapsed="false">
      <c r="A5" s="5" t="s">
        <v>16</v>
      </c>
      <c r="B5" s="6" t="s">
        <v>17</v>
      </c>
      <c r="C5" s="7" t="n">
        <v>95.03</v>
      </c>
      <c r="D5" s="6"/>
      <c r="E5" s="6"/>
      <c r="F5" s="6"/>
      <c r="G5" s="6"/>
      <c r="H5" s="6"/>
      <c r="I5" s="6" t="s">
        <v>18</v>
      </c>
      <c r="J5" s="7" t="n">
        <v>512</v>
      </c>
      <c r="K5" s="6"/>
      <c r="L5" s="6" t="s">
        <v>19</v>
      </c>
      <c r="M5" s="6" t="s">
        <v>20</v>
      </c>
      <c r="N5" s="8" t="s">
        <v>21</v>
      </c>
    </row>
    <row r="6" customFormat="false" ht="57.75" hidden="false" customHeight="true" outlineLevel="0" collapsed="false">
      <c r="A6" s="5" t="s">
        <v>22</v>
      </c>
      <c r="B6" s="6" t="s">
        <v>17</v>
      </c>
      <c r="C6" s="7" t="n">
        <v>170.39</v>
      </c>
      <c r="D6" s="6"/>
      <c r="E6" s="6"/>
      <c r="F6" s="6"/>
      <c r="G6" s="6"/>
      <c r="H6" s="6"/>
      <c r="I6" s="6" t="s">
        <v>18</v>
      </c>
      <c r="J6" s="7" t="n">
        <v>512</v>
      </c>
      <c r="K6" s="6"/>
      <c r="L6" s="6" t="s">
        <v>19</v>
      </c>
      <c r="M6" s="6" t="s">
        <v>20</v>
      </c>
      <c r="N6" s="8" t="s">
        <v>23</v>
      </c>
    </row>
    <row r="7" customFormat="false" ht="57.75" hidden="false" customHeight="true" outlineLevel="0" collapsed="false">
      <c r="A7" s="5" t="s">
        <v>24</v>
      </c>
      <c r="B7" s="6" t="s">
        <v>17</v>
      </c>
      <c r="C7" s="7" t="n">
        <v>235.93</v>
      </c>
      <c r="D7" s="6"/>
      <c r="E7" s="6"/>
      <c r="F7" s="6"/>
      <c r="G7" s="6"/>
      <c r="H7" s="6"/>
      <c r="I7" s="6" t="s">
        <v>25</v>
      </c>
      <c r="J7" s="7" t="n">
        <v>844.8</v>
      </c>
      <c r="K7" s="6"/>
      <c r="L7" s="6" t="s">
        <v>19</v>
      </c>
      <c r="M7" s="6" t="s">
        <v>20</v>
      </c>
      <c r="N7" s="8" t="s">
        <v>26</v>
      </c>
    </row>
    <row r="8" customFormat="false" ht="57.75" hidden="false" customHeight="true" outlineLevel="0" collapsed="false">
      <c r="A8" s="9" t="s">
        <v>27</v>
      </c>
      <c r="B8" s="10" t="s">
        <v>28</v>
      </c>
      <c r="C8" s="11" t="n">
        <v>98.3</v>
      </c>
      <c r="D8" s="10"/>
      <c r="E8" s="10"/>
      <c r="F8" s="10"/>
      <c r="G8" s="10"/>
      <c r="H8" s="10"/>
      <c r="I8" s="10" t="s">
        <v>29</v>
      </c>
      <c r="J8" s="11" t="n">
        <v>456</v>
      </c>
      <c r="K8" s="11" t="n">
        <v>24</v>
      </c>
      <c r="L8" s="10" t="s">
        <v>30</v>
      </c>
      <c r="M8" s="10" t="s">
        <v>31</v>
      </c>
      <c r="N8" s="12" t="s">
        <v>32</v>
      </c>
    </row>
    <row r="9" customFormat="false" ht="57.75" hidden="false" customHeight="true" outlineLevel="0" collapsed="false">
      <c r="A9" s="9" t="s">
        <v>33</v>
      </c>
      <c r="B9" s="10" t="s">
        <v>28</v>
      </c>
      <c r="C9" s="11" t="n">
        <v>183.5</v>
      </c>
      <c r="D9" s="10"/>
      <c r="E9" s="10"/>
      <c r="F9" s="10"/>
      <c r="G9" s="10"/>
      <c r="H9" s="10"/>
      <c r="I9" s="10" t="s">
        <v>34</v>
      </c>
      <c r="J9" s="11" t="n">
        <v>608</v>
      </c>
      <c r="K9" s="11" t="n">
        <v>32</v>
      </c>
      <c r="L9" s="10" t="s">
        <v>35</v>
      </c>
      <c r="M9" s="10" t="s">
        <v>31</v>
      </c>
      <c r="N9" s="12" t="s">
        <v>36</v>
      </c>
    </row>
    <row r="10" customFormat="false" ht="57.75" hidden="false" customHeight="true" outlineLevel="0" collapsed="false">
      <c r="A10" s="9" t="s">
        <v>37</v>
      </c>
      <c r="B10" s="10" t="s">
        <v>28</v>
      </c>
      <c r="C10" s="11" t="n">
        <v>655.5</v>
      </c>
      <c r="D10" s="10"/>
      <c r="E10" s="11" t="n">
        <v>1311</v>
      </c>
      <c r="F10" s="10"/>
      <c r="G10" s="11" t="n">
        <v>2622</v>
      </c>
      <c r="H10" s="10"/>
      <c r="I10" s="10" t="s">
        <v>38</v>
      </c>
      <c r="J10" s="11" t="n">
        <v>1500</v>
      </c>
      <c r="K10" s="11" t="n">
        <v>160</v>
      </c>
      <c r="L10" s="10" t="s">
        <v>39</v>
      </c>
      <c r="M10" s="10" t="s">
        <v>31</v>
      </c>
      <c r="N10" s="12" t="s">
        <v>40</v>
      </c>
    </row>
    <row r="11" customFormat="false" ht="57.75" hidden="false" customHeight="true" outlineLevel="0" collapsed="false">
      <c r="A11" s="9" t="s">
        <v>41</v>
      </c>
      <c r="B11" s="10" t="s">
        <v>28</v>
      </c>
      <c r="C11" s="11" t="n">
        <v>756</v>
      </c>
      <c r="D11" s="11" t="n">
        <v>1513</v>
      </c>
      <c r="E11" s="11" t="n">
        <v>1513</v>
      </c>
      <c r="F11" s="11" t="n">
        <v>3026</v>
      </c>
      <c r="G11" s="10"/>
      <c r="H11" s="10"/>
      <c r="I11" s="10" t="s">
        <v>42</v>
      </c>
      <c r="J11" s="11" t="n">
        <v>2039</v>
      </c>
      <c r="K11" s="11" t="n">
        <v>80</v>
      </c>
      <c r="L11" s="10" t="s">
        <v>35</v>
      </c>
      <c r="M11" s="10" t="s">
        <v>31</v>
      </c>
      <c r="N11" s="12" t="s">
        <v>43</v>
      </c>
    </row>
    <row r="12" customFormat="false" ht="57.75" hidden="false" customHeight="true" outlineLevel="0" collapsed="false">
      <c r="A12" s="9" t="s">
        <v>44</v>
      </c>
      <c r="B12" s="10" t="s">
        <v>28</v>
      </c>
      <c r="C12" s="11" t="n">
        <v>990</v>
      </c>
      <c r="D12" s="11" t="n">
        <v>1979</v>
      </c>
      <c r="E12" s="11" t="n">
        <v>1979</v>
      </c>
      <c r="F12" s="11" t="n">
        <v>3958</v>
      </c>
      <c r="G12" s="10"/>
      <c r="H12" s="10"/>
      <c r="I12" s="10" t="s">
        <v>45</v>
      </c>
      <c r="J12" s="11" t="n">
        <v>3350</v>
      </c>
      <c r="K12" s="11" t="n">
        <v>80</v>
      </c>
      <c r="L12" s="10" t="s">
        <v>46</v>
      </c>
      <c r="M12" s="10" t="s">
        <v>20</v>
      </c>
      <c r="N12" s="12" t="s">
        <v>47</v>
      </c>
    </row>
    <row r="13" customFormat="false" ht="57.75" hidden="false" customHeight="true" outlineLevel="0" collapsed="false">
      <c r="A13" s="9" t="s">
        <v>48</v>
      </c>
      <c r="B13" s="10" t="s">
        <v>28</v>
      </c>
      <c r="C13" s="11" t="n">
        <v>251.9</v>
      </c>
      <c r="D13" s="11" t="n">
        <v>503.8</v>
      </c>
      <c r="E13" s="11" t="n">
        <v>503.8</v>
      </c>
      <c r="F13" s="11" t="n">
        <v>1007.6</v>
      </c>
      <c r="G13" s="10"/>
      <c r="H13" s="11" t="n">
        <v>4000</v>
      </c>
      <c r="I13" s="10" t="s">
        <v>49</v>
      </c>
      <c r="J13" s="11" t="n">
        <v>1792</v>
      </c>
      <c r="K13" s="11" t="n">
        <v>96</v>
      </c>
      <c r="L13" s="10" t="s">
        <v>35</v>
      </c>
      <c r="M13" s="10" t="s">
        <v>31</v>
      </c>
      <c r="N13" s="12" t="s">
        <v>50</v>
      </c>
    </row>
    <row r="14" customFormat="false" ht="57.75" hidden="false" customHeight="true" outlineLevel="0" collapsed="false">
      <c r="A14" s="9" t="s">
        <v>51</v>
      </c>
      <c r="B14" s="10" t="s">
        <v>28</v>
      </c>
      <c r="C14" s="10"/>
      <c r="D14" s="11" t="n">
        <v>5000</v>
      </c>
      <c r="E14" s="10"/>
      <c r="F14" s="11" t="n">
        <v>10000</v>
      </c>
      <c r="G14" s="10"/>
      <c r="H14" s="11" t="n">
        <v>20000</v>
      </c>
      <c r="I14" s="10" t="s">
        <v>52</v>
      </c>
      <c r="J14" s="11" t="n">
        <v>8000</v>
      </c>
      <c r="K14" s="11" t="n">
        <v>186</v>
      </c>
      <c r="L14" s="10" t="s">
        <v>46</v>
      </c>
      <c r="M14" s="10" t="s">
        <v>20</v>
      </c>
      <c r="N14" s="12" t="s">
        <v>53</v>
      </c>
    </row>
    <row r="15" customFormat="false" ht="57.75" hidden="false" customHeight="true" outlineLevel="0" collapsed="false">
      <c r="A15" s="9" t="s">
        <v>54</v>
      </c>
      <c r="B15" s="10" t="s">
        <v>28</v>
      </c>
      <c r="C15" s="10"/>
      <c r="D15" s="11" t="n">
        <v>5000</v>
      </c>
      <c r="E15" s="10"/>
      <c r="F15" s="11" t="n">
        <v>10000</v>
      </c>
      <c r="G15" s="11" t="n">
        <v>15000</v>
      </c>
      <c r="H15" s="11" t="n">
        <v>20000</v>
      </c>
      <c r="I15" s="10" t="s">
        <v>52</v>
      </c>
      <c r="J15" s="11" t="n">
        <v>8000</v>
      </c>
      <c r="K15" s="11" t="n">
        <v>288</v>
      </c>
      <c r="L15" s="10" t="s">
        <v>46</v>
      </c>
      <c r="M15" s="10" t="s">
        <v>20</v>
      </c>
      <c r="N15" s="12" t="s">
        <v>55</v>
      </c>
    </row>
    <row r="16" customFormat="false" ht="57.75" hidden="false" customHeight="true" outlineLevel="0" collapsed="false">
      <c r="A16" s="13" t="s">
        <v>56</v>
      </c>
      <c r="B16" s="14" t="s">
        <v>57</v>
      </c>
      <c r="C16" s="15" t="n">
        <v>639</v>
      </c>
      <c r="D16" s="14"/>
      <c r="E16" s="14"/>
      <c r="F16" s="14"/>
      <c r="G16" s="14"/>
      <c r="H16" s="14"/>
      <c r="I16" s="14" t="s">
        <v>58</v>
      </c>
      <c r="J16" s="15" t="n">
        <v>2000</v>
      </c>
      <c r="K16" s="15" t="n">
        <v>64</v>
      </c>
      <c r="L16" s="14" t="s">
        <v>59</v>
      </c>
      <c r="M16" s="14" t="s">
        <v>20</v>
      </c>
      <c r="N16" s="16" t="s">
        <v>60</v>
      </c>
    </row>
    <row r="19" customFormat="false" ht="15" hidden="false" customHeight="true" outlineLevel="0" collapsed="false">
      <c r="A19" s="17" t="s">
        <v>61</v>
      </c>
      <c r="B19" s="17"/>
      <c r="C19" s="17"/>
      <c r="D19" s="17"/>
      <c r="E19" s="17"/>
    </row>
    <row r="20" customFormat="false" ht="23.25" hidden="false" customHeight="true" outlineLevel="0" collapsed="false">
      <c r="A20" s="4" t="s">
        <v>62</v>
      </c>
      <c r="B20" s="4" t="s">
        <v>63</v>
      </c>
      <c r="C20" s="4" t="s">
        <v>64</v>
      </c>
      <c r="D20" s="4" t="s">
        <v>65</v>
      </c>
      <c r="E20" s="4" t="s">
        <v>66</v>
      </c>
    </row>
    <row r="21" customFormat="false" ht="39.75" hidden="false" customHeight="true" outlineLevel="0" collapsed="false">
      <c r="A21" s="18" t="s">
        <v>67</v>
      </c>
      <c r="B21" s="19" t="n">
        <v>1800</v>
      </c>
      <c r="C21" s="19" t="n">
        <v>1.5</v>
      </c>
      <c r="D21" s="20" t="s">
        <v>68</v>
      </c>
      <c r="E21" s="20" t="s">
        <v>69</v>
      </c>
    </row>
    <row r="22" customFormat="false" ht="39.75" hidden="false" customHeight="true" outlineLevel="0" collapsed="false">
      <c r="A22" s="18" t="s">
        <v>70</v>
      </c>
      <c r="B22" s="19" t="n">
        <v>900</v>
      </c>
      <c r="C22" s="19" t="n">
        <v>2</v>
      </c>
      <c r="D22" s="20" t="s">
        <v>68</v>
      </c>
      <c r="E22" s="20" t="s">
        <v>71</v>
      </c>
    </row>
    <row r="23" customFormat="false" ht="39.75" hidden="false" customHeight="true" outlineLevel="0" collapsed="false">
      <c r="A23" s="18" t="s">
        <v>72</v>
      </c>
      <c r="B23" s="19" t="n">
        <v>600</v>
      </c>
      <c r="C23" s="19" t="n">
        <v>2.5</v>
      </c>
      <c r="D23" s="20" t="s">
        <v>68</v>
      </c>
      <c r="E23" s="20" t="s">
        <v>73</v>
      </c>
    </row>
    <row r="24" customFormat="false" ht="39.75" hidden="false" customHeight="true" outlineLevel="0" collapsed="false">
      <c r="A24" s="18" t="s">
        <v>74</v>
      </c>
      <c r="B24" s="19" t="n">
        <v>64</v>
      </c>
      <c r="C24" s="19" t="n">
        <v>4</v>
      </c>
      <c r="D24" s="20" t="s">
        <v>75</v>
      </c>
      <c r="E24" s="20" t="s">
        <v>76</v>
      </c>
    </row>
    <row r="25" customFormat="false" ht="39.75" hidden="false" customHeight="true" outlineLevel="0" collapsed="false">
      <c r="A25" s="18" t="s">
        <v>77</v>
      </c>
      <c r="B25" s="19" t="n">
        <v>32</v>
      </c>
      <c r="C25" s="19" t="n">
        <v>5</v>
      </c>
      <c r="D25" s="20" t="s">
        <v>75</v>
      </c>
      <c r="E25" s="20" t="s">
        <v>78</v>
      </c>
    </row>
    <row r="26" customFormat="false" ht="39.75" hidden="false" customHeight="true" outlineLevel="0" collapsed="false">
      <c r="A26" s="18" t="s">
        <v>79</v>
      </c>
      <c r="B26" s="19" t="n">
        <v>50</v>
      </c>
      <c r="C26" s="19" t="n">
        <v>6</v>
      </c>
      <c r="D26" s="20" t="s">
        <v>80</v>
      </c>
      <c r="E26" s="20" t="s">
        <v>81</v>
      </c>
    </row>
  </sheetData>
  <mergeCells count="3">
    <mergeCell ref="A1:N1"/>
    <mergeCell ref="A2:N2"/>
    <mergeCell ref="A19:E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48" activeCellId="0" sqref="B48"/>
    </sheetView>
  </sheetViews>
  <sheetFormatPr defaultColWidth="8.71484375" defaultRowHeight="15" zeroHeight="false" outlineLevelRow="0" outlineLevelCol="0"/>
  <cols>
    <col collapsed="false" customWidth="true" hidden="false" outlineLevel="0" max="1" min="1" style="1" width="38"/>
    <col collapsed="false" customWidth="true" hidden="false" outlineLevel="0" max="2" min="2" style="1" width="33.86"/>
    <col collapsed="false" customWidth="true" hidden="false" outlineLevel="0" max="3" min="3" style="1" width="14"/>
    <col collapsed="false" customWidth="true" hidden="false" outlineLevel="0" max="4" min="4" style="1" width="86.14"/>
  </cols>
  <sheetData>
    <row r="1" customFormat="false" ht="21.75" hidden="false" customHeight="true" outlineLevel="0" collapsed="false">
      <c r="A1" s="2" t="s">
        <v>82</v>
      </c>
      <c r="B1" s="2"/>
      <c r="C1" s="2"/>
      <c r="D1" s="2"/>
    </row>
    <row r="2" customFormat="false" ht="15.75" hidden="false" customHeight="true" outlineLevel="0" collapsed="false">
      <c r="A2" s="3" t="s">
        <v>83</v>
      </c>
      <c r="B2" s="3"/>
      <c r="C2" s="3"/>
      <c r="D2" s="3"/>
    </row>
    <row r="4" customFormat="false" ht="15" hidden="false" customHeight="true" outlineLevel="0" collapsed="false">
      <c r="A4" s="17" t="s">
        <v>84</v>
      </c>
      <c r="B4" s="17"/>
      <c r="C4" s="17"/>
      <c r="D4" s="17"/>
    </row>
    <row r="5" customFormat="false" ht="15" hidden="false" customHeight="true" outlineLevel="0" collapsed="false">
      <c r="A5" s="4" t="s">
        <v>85</v>
      </c>
      <c r="B5" s="4" t="s">
        <v>86</v>
      </c>
      <c r="C5" s="4" t="s">
        <v>87</v>
      </c>
      <c r="D5" s="4" t="s">
        <v>66</v>
      </c>
    </row>
    <row r="6" customFormat="false" ht="15" hidden="false" customHeight="true" outlineLevel="0" collapsed="false">
      <c r="A6" s="21" t="s">
        <v>88</v>
      </c>
      <c r="B6" s="22" t="n">
        <v>8</v>
      </c>
      <c r="C6" s="23" t="s">
        <v>89</v>
      </c>
      <c r="D6" s="23" t="s">
        <v>90</v>
      </c>
    </row>
    <row r="7" customFormat="false" ht="15" hidden="false" customHeight="true" outlineLevel="0" collapsed="false">
      <c r="A7" s="21" t="s">
        <v>91</v>
      </c>
      <c r="B7" s="22" t="n">
        <v>8192</v>
      </c>
      <c r="C7" s="23" t="s">
        <v>92</v>
      </c>
      <c r="D7" s="23" t="s">
        <v>93</v>
      </c>
    </row>
    <row r="8" customFormat="false" ht="15" hidden="false" customHeight="true" outlineLevel="0" collapsed="false">
      <c r="A8" s="21" t="s">
        <v>94</v>
      </c>
      <c r="B8" s="22" t="n">
        <v>1</v>
      </c>
      <c r="C8" s="23" t="s">
        <v>92</v>
      </c>
      <c r="D8" s="23" t="s">
        <v>95</v>
      </c>
    </row>
    <row r="9" customFormat="false" ht="15" hidden="false" customHeight="true" outlineLevel="0" collapsed="false">
      <c r="A9" s="21" t="s">
        <v>96</v>
      </c>
      <c r="B9" s="24" t="n">
        <f aca="false">B7+B8</f>
        <v>8193</v>
      </c>
      <c r="C9" s="23" t="s">
        <v>92</v>
      </c>
      <c r="D9" s="23" t="s">
        <v>97</v>
      </c>
    </row>
    <row r="10" customFormat="false" ht="15" hidden="false" customHeight="true" outlineLevel="0" collapsed="false">
      <c r="A10" s="21" t="s">
        <v>98</v>
      </c>
      <c r="B10" s="22" t="n">
        <v>2</v>
      </c>
      <c r="C10" s="23" t="s">
        <v>99</v>
      </c>
      <c r="D10" s="23" t="s">
        <v>100</v>
      </c>
    </row>
    <row r="11" customFormat="false" ht="15" hidden="false" customHeight="true" outlineLevel="0" collapsed="false">
      <c r="A11" s="21" t="s">
        <v>101</v>
      </c>
      <c r="B11" s="22" t="n">
        <v>2</v>
      </c>
      <c r="C11" s="23" t="s">
        <v>99</v>
      </c>
      <c r="D11" s="23" t="s">
        <v>102</v>
      </c>
    </row>
    <row r="12" customFormat="false" ht="15" hidden="false" customHeight="true" outlineLevel="0" collapsed="false">
      <c r="A12" s="21" t="s">
        <v>103</v>
      </c>
      <c r="B12" s="22" t="n">
        <v>0.12</v>
      </c>
      <c r="C12" s="23" t="s">
        <v>104</v>
      </c>
      <c r="D12" s="23" t="s">
        <v>105</v>
      </c>
    </row>
    <row r="13" customFormat="false" ht="15" hidden="false" customHeight="true" outlineLevel="0" collapsed="false">
      <c r="A13" s="21" t="s">
        <v>106</v>
      </c>
      <c r="B13" s="22" t="n">
        <v>0.7</v>
      </c>
      <c r="C13" s="23" t="s">
        <v>104</v>
      </c>
      <c r="D13" s="23" t="s">
        <v>107</v>
      </c>
    </row>
    <row r="14" customFormat="false" ht="15" hidden="false" customHeight="true" outlineLevel="0" collapsed="false">
      <c r="A14" s="21" t="s">
        <v>108</v>
      </c>
      <c r="B14" s="22" t="n">
        <v>5</v>
      </c>
      <c r="C14" s="23" t="s">
        <v>109</v>
      </c>
      <c r="D14" s="23" t="s">
        <v>110</v>
      </c>
    </row>
    <row r="16" customFormat="false" ht="15" hidden="false" customHeight="true" outlineLevel="0" collapsed="false">
      <c r="A16" s="17" t="s">
        <v>111</v>
      </c>
      <c r="B16" s="17"/>
      <c r="C16" s="17"/>
      <c r="D16" s="17"/>
    </row>
    <row r="17" customFormat="false" ht="15" hidden="false" customHeight="true" outlineLevel="0" collapsed="false">
      <c r="A17" s="4" t="s">
        <v>85</v>
      </c>
      <c r="B17" s="4" t="s">
        <v>86</v>
      </c>
      <c r="C17" s="4" t="s">
        <v>87</v>
      </c>
      <c r="D17" s="4" t="s">
        <v>66</v>
      </c>
    </row>
    <row r="18" customFormat="false" ht="15" hidden="false" customHeight="true" outlineLevel="0" collapsed="false">
      <c r="A18" s="21" t="s">
        <v>112</v>
      </c>
      <c r="B18" s="25" t="s">
        <v>33</v>
      </c>
      <c r="C18" s="23" t="s">
        <v>109</v>
      </c>
      <c r="D18" s="23" t="s">
        <v>113</v>
      </c>
    </row>
    <row r="19" customFormat="false" ht="15" hidden="false" customHeight="true" outlineLevel="0" collapsed="false">
      <c r="A19" s="21" t="s">
        <v>114</v>
      </c>
      <c r="B19" s="25" t="s">
        <v>115</v>
      </c>
      <c r="C19" s="23" t="s">
        <v>109</v>
      </c>
      <c r="D19" s="23" t="s">
        <v>116</v>
      </c>
    </row>
    <row r="20" customFormat="false" ht="15" hidden="false" customHeight="true" outlineLevel="0" collapsed="false">
      <c r="A20" s="21" t="s">
        <v>117</v>
      </c>
      <c r="B20" s="26" t="n">
        <f aca="false">IF(B19="BF16",INDEX(Silicon!$C:$C,MATCH($B$18,Silicon!$A:$A,0)),IF(B19="FP8",INDEX(Silicon!$E:$E,MATCH($B$18,Silicon!$A:$A,0)),INDEX(Silicon!$G:$G,MATCH($B$18,Silicon!$A:$A,0))))</f>
        <v>183.5</v>
      </c>
      <c r="C20" s="23" t="s">
        <v>118</v>
      </c>
      <c r="D20" s="23" t="s">
        <v>119</v>
      </c>
    </row>
    <row r="21" customFormat="false" ht="15" hidden="false" customHeight="true" outlineLevel="0" collapsed="false">
      <c r="A21" s="21" t="s">
        <v>120</v>
      </c>
      <c r="B21" s="26" t="n">
        <f aca="false">INDEX(Silicon!$J:$J,MATCH($B$18,Silicon!$A:$A,0))</f>
        <v>608</v>
      </c>
      <c r="C21" s="23" t="s">
        <v>121</v>
      </c>
      <c r="D21" s="23" t="s">
        <v>122</v>
      </c>
    </row>
    <row r="22" customFormat="false" ht="15" hidden="false" customHeight="true" outlineLevel="0" collapsed="false">
      <c r="A22" s="21" t="s">
        <v>123</v>
      </c>
      <c r="B22" s="26" t="n">
        <f aca="false">INDEX(Silicon!$K:$K,MATCH($B$18,Silicon!$A:$A,0))</f>
        <v>32</v>
      </c>
      <c r="C22" s="23" t="s">
        <v>124</v>
      </c>
      <c r="D22" s="23" t="s">
        <v>125</v>
      </c>
    </row>
    <row r="23" customFormat="false" ht="15" hidden="false" customHeight="true" outlineLevel="0" collapsed="false">
      <c r="A23" s="21" t="s">
        <v>126</v>
      </c>
      <c r="B23" s="27" t="str">
        <f aca="false">INDEX(Silicon!$I:$I,MATCH($B$18,Silicon!$A:$A,0))</f>
        <v>GDDR6, ECC, 256-bit</v>
      </c>
      <c r="C23" s="23" t="s">
        <v>109</v>
      </c>
      <c r="D23" s="23" t="s">
        <v>127</v>
      </c>
    </row>
    <row r="24" customFormat="false" ht="15" hidden="false" customHeight="true" outlineLevel="0" collapsed="false">
      <c r="A24" s="21" t="s">
        <v>128</v>
      </c>
      <c r="B24" s="27" t="str">
        <f aca="false">INDEX(Silicon!$L:$L,MATCH($B$18,Silicon!$A:$A,0))&amp;" — "&amp;INDEX(Silicon!$M:$M,MATCH($B$18,Silicon!$A:$A,0))</f>
        <v>x16 — Gen 5.0</v>
      </c>
      <c r="C24" s="23" t="s">
        <v>109</v>
      </c>
      <c r="D24" s="23" t="s">
        <v>129</v>
      </c>
    </row>
    <row r="26" customFormat="false" ht="15" hidden="false" customHeight="true" outlineLevel="0" collapsed="false">
      <c r="A26" s="17" t="s">
        <v>130</v>
      </c>
      <c r="B26" s="17"/>
      <c r="C26" s="17"/>
      <c r="D26" s="17"/>
    </row>
    <row r="27" customFormat="false" ht="15" hidden="false" customHeight="true" outlineLevel="0" collapsed="false">
      <c r="A27" s="4" t="s">
        <v>85</v>
      </c>
      <c r="B27" s="4" t="s">
        <v>86</v>
      </c>
      <c r="C27" s="4" t="s">
        <v>87</v>
      </c>
      <c r="D27" s="4" t="s">
        <v>66</v>
      </c>
    </row>
    <row r="28" customFormat="false" ht="15" hidden="false" customHeight="true" outlineLevel="0" collapsed="false">
      <c r="A28" s="21" t="s">
        <v>131</v>
      </c>
      <c r="B28" s="22" t="n">
        <v>27.8</v>
      </c>
      <c r="C28" s="23" t="s">
        <v>132</v>
      </c>
      <c r="D28" s="23" t="s">
        <v>133</v>
      </c>
    </row>
    <row r="29" customFormat="false" ht="15" hidden="false" customHeight="true" outlineLevel="0" collapsed="false">
      <c r="A29" s="21" t="s">
        <v>134</v>
      </c>
      <c r="B29" s="22" t="n">
        <v>64</v>
      </c>
      <c r="C29" s="23" t="s">
        <v>135</v>
      </c>
      <c r="D29" s="23" t="s">
        <v>136</v>
      </c>
    </row>
    <row r="30" customFormat="false" ht="15" hidden="false" customHeight="true" outlineLevel="0" collapsed="false">
      <c r="A30" s="21" t="s">
        <v>137</v>
      </c>
      <c r="B30" s="22" t="n">
        <v>16</v>
      </c>
      <c r="C30" s="23" t="s">
        <v>135</v>
      </c>
      <c r="D30" s="23" t="s">
        <v>138</v>
      </c>
    </row>
    <row r="31" customFormat="false" ht="15" hidden="false" customHeight="true" outlineLevel="0" collapsed="false">
      <c r="A31" s="21" t="s">
        <v>139</v>
      </c>
      <c r="B31" s="22" t="n">
        <v>48</v>
      </c>
      <c r="C31" s="23" t="s">
        <v>135</v>
      </c>
      <c r="D31" s="23" t="s">
        <v>140</v>
      </c>
    </row>
    <row r="32" customFormat="false" ht="15" hidden="false" customHeight="true" outlineLevel="0" collapsed="false">
      <c r="A32" s="21" t="s">
        <v>141</v>
      </c>
      <c r="B32" s="22" t="n">
        <v>5120</v>
      </c>
      <c r="C32" s="23" t="s">
        <v>109</v>
      </c>
      <c r="D32" s="23"/>
    </row>
    <row r="33" customFormat="false" ht="15" hidden="false" customHeight="true" outlineLevel="0" collapsed="false">
      <c r="A33" s="21" t="s">
        <v>142</v>
      </c>
      <c r="B33" s="22" t="n">
        <v>17408</v>
      </c>
      <c r="C33" s="23" t="s">
        <v>109</v>
      </c>
      <c r="D33" s="23"/>
    </row>
    <row r="34" customFormat="false" ht="15" hidden="false" customHeight="true" outlineLevel="0" collapsed="false">
      <c r="A34" s="21" t="s">
        <v>143</v>
      </c>
      <c r="B34" s="22" t="n">
        <v>248320</v>
      </c>
      <c r="C34" s="23" t="s">
        <v>92</v>
      </c>
      <c r="D34" s="23" t="s">
        <v>144</v>
      </c>
    </row>
    <row r="35" customFormat="false" ht="15" hidden="false" customHeight="true" outlineLevel="0" collapsed="false">
      <c r="A35" s="21" t="s">
        <v>145</v>
      </c>
      <c r="B35" s="22" t="n">
        <v>262144</v>
      </c>
      <c r="C35" s="23" t="s">
        <v>92</v>
      </c>
      <c r="D35" s="23"/>
    </row>
    <row r="36" customFormat="false" ht="15" hidden="false" customHeight="true" outlineLevel="0" collapsed="false">
      <c r="A36" s="21" t="s">
        <v>146</v>
      </c>
      <c r="B36" s="22" t="n">
        <v>1000000</v>
      </c>
      <c r="C36" s="23" t="s">
        <v>92</v>
      </c>
      <c r="D36" s="23"/>
    </row>
    <row r="37" customFormat="false" ht="15" hidden="false" customHeight="true" outlineLevel="0" collapsed="false">
      <c r="A37" s="21" t="s">
        <v>147</v>
      </c>
      <c r="B37" s="22" t="n">
        <v>24</v>
      </c>
      <c r="C37" s="23" t="s">
        <v>148</v>
      </c>
      <c r="D37" s="23" t="s">
        <v>149</v>
      </c>
    </row>
    <row r="38" customFormat="false" ht="15" hidden="false" customHeight="true" outlineLevel="0" collapsed="false">
      <c r="A38" s="21" t="s">
        <v>150</v>
      </c>
      <c r="B38" s="22" t="n">
        <v>4</v>
      </c>
      <c r="C38" s="23" t="s">
        <v>148</v>
      </c>
      <c r="D38" s="23" t="s">
        <v>151</v>
      </c>
    </row>
    <row r="39" customFormat="false" ht="15" hidden="false" customHeight="true" outlineLevel="0" collapsed="false">
      <c r="A39" s="21" t="s">
        <v>152</v>
      </c>
      <c r="B39" s="22" t="n">
        <v>256</v>
      </c>
      <c r="C39" s="23" t="s">
        <v>109</v>
      </c>
      <c r="D39" s="23"/>
    </row>
    <row r="40" customFormat="false" ht="15" hidden="false" customHeight="true" outlineLevel="0" collapsed="false">
      <c r="A40" s="21" t="s">
        <v>153</v>
      </c>
      <c r="B40" s="22" t="n">
        <v>64</v>
      </c>
      <c r="C40" s="23" t="s">
        <v>109</v>
      </c>
      <c r="D40" s="23"/>
    </row>
    <row r="41" customFormat="false" ht="15" hidden="false" customHeight="true" outlineLevel="0" collapsed="false">
      <c r="A41" s="21" t="s">
        <v>154</v>
      </c>
      <c r="B41" s="22" t="n">
        <v>48</v>
      </c>
      <c r="C41" s="23" t="s">
        <v>148</v>
      </c>
      <c r="D41" s="23"/>
    </row>
    <row r="42" customFormat="false" ht="15" hidden="false" customHeight="true" outlineLevel="0" collapsed="false">
      <c r="A42" s="21" t="s">
        <v>155</v>
      </c>
      <c r="B42" s="22" t="n">
        <v>16</v>
      </c>
      <c r="C42" s="23" t="s">
        <v>148</v>
      </c>
      <c r="D42" s="23"/>
    </row>
    <row r="43" customFormat="false" ht="15" hidden="false" customHeight="true" outlineLevel="0" collapsed="false">
      <c r="A43" s="21" t="s">
        <v>156</v>
      </c>
      <c r="B43" s="22" t="n">
        <v>128</v>
      </c>
      <c r="C43" s="23" t="s">
        <v>109</v>
      </c>
      <c r="D43" s="23" t="s">
        <v>157</v>
      </c>
    </row>
    <row r="44" customFormat="false" ht="15" hidden="false" customHeight="true" outlineLevel="0" collapsed="false">
      <c r="A44" s="21" t="s">
        <v>158</v>
      </c>
      <c r="B44" s="25" t="s">
        <v>159</v>
      </c>
      <c r="C44" s="23" t="s">
        <v>109</v>
      </c>
      <c r="D44" s="23" t="s">
        <v>160</v>
      </c>
    </row>
    <row r="46" customFormat="false" ht="15" hidden="false" customHeight="true" outlineLevel="0" collapsed="false">
      <c r="A46" s="17" t="s">
        <v>161</v>
      </c>
      <c r="B46" s="17"/>
      <c r="C46" s="17"/>
      <c r="D46" s="17"/>
    </row>
    <row r="47" customFormat="false" ht="15" hidden="false" customHeight="true" outlineLevel="0" collapsed="false">
      <c r="A47" s="4" t="s">
        <v>85</v>
      </c>
      <c r="B47" s="4" t="s">
        <v>86</v>
      </c>
      <c r="C47" s="4" t="s">
        <v>87</v>
      </c>
      <c r="D47" s="4" t="s">
        <v>66</v>
      </c>
    </row>
    <row r="48" customFormat="false" ht="15" hidden="false" customHeight="true" outlineLevel="0" collapsed="false">
      <c r="A48" s="21" t="s">
        <v>162</v>
      </c>
      <c r="B48" s="22" t="n">
        <v>4</v>
      </c>
      <c r="C48" s="23" t="s">
        <v>163</v>
      </c>
      <c r="D48" s="23" t="s">
        <v>164</v>
      </c>
    </row>
    <row r="49" customFormat="false" ht="15" hidden="false" customHeight="true" outlineLevel="0" collapsed="false">
      <c r="A49" s="21" t="s">
        <v>165</v>
      </c>
      <c r="B49" s="25" t="s">
        <v>74</v>
      </c>
      <c r="C49" s="23" t="s">
        <v>109</v>
      </c>
      <c r="D49" s="23" t="s">
        <v>166</v>
      </c>
    </row>
    <row r="50" customFormat="false" ht="15" hidden="false" customHeight="true" outlineLevel="0" collapsed="false">
      <c r="A50" s="21" t="s">
        <v>167</v>
      </c>
      <c r="B50" s="26" t="n">
        <f aca="false">INDEX(Silicon!$B$21:$B$26,MATCH($B$49,Silicon!$A$21:$A$26,0))</f>
        <v>64</v>
      </c>
      <c r="C50" s="23" t="s">
        <v>121</v>
      </c>
      <c r="D50" s="23" t="s">
        <v>168</v>
      </c>
    </row>
    <row r="51" customFormat="false" ht="15" hidden="false" customHeight="true" outlineLevel="0" collapsed="false">
      <c r="A51" s="21" t="s">
        <v>169</v>
      </c>
      <c r="B51" s="26" t="n">
        <f aca="false">INDEX(Silicon!$C$21:$C$26,MATCH($B$49,Silicon!$A$21:$A$26,0))</f>
        <v>4</v>
      </c>
      <c r="C51" s="23" t="s">
        <v>170</v>
      </c>
      <c r="D51" s="23" t="s">
        <v>171</v>
      </c>
    </row>
    <row r="52" customFormat="false" ht="15" hidden="false" customHeight="true" outlineLevel="0" collapsed="false">
      <c r="A52" s="21" t="s">
        <v>172</v>
      </c>
      <c r="B52" s="22" t="n">
        <v>2</v>
      </c>
      <c r="C52" s="23" t="s">
        <v>173</v>
      </c>
      <c r="D52" s="23" t="s">
        <v>174</v>
      </c>
    </row>
    <row r="53" customFormat="false" ht="15" hidden="false" customHeight="true" outlineLevel="0" collapsed="false">
      <c r="A53" s="21" t="s">
        <v>175</v>
      </c>
      <c r="B53" s="22" t="n">
        <v>2</v>
      </c>
      <c r="C53" s="23" t="s">
        <v>99</v>
      </c>
      <c r="D53" s="23" t="s">
        <v>176</v>
      </c>
    </row>
    <row r="54" customFormat="false" ht="15" hidden="false" customHeight="true" outlineLevel="0" collapsed="false">
      <c r="A54" s="21" t="s">
        <v>177</v>
      </c>
      <c r="B54" s="22" t="n">
        <v>5120</v>
      </c>
      <c r="C54" s="23" t="s">
        <v>109</v>
      </c>
      <c r="D54" s="23" t="s">
        <v>178</v>
      </c>
    </row>
    <row r="56" customFormat="false" ht="15" hidden="false" customHeight="true" outlineLevel="0" collapsed="false">
      <c r="A56" s="17" t="s">
        <v>179</v>
      </c>
      <c r="B56" s="17"/>
      <c r="C56" s="17"/>
      <c r="D56" s="17"/>
    </row>
    <row r="57" customFormat="false" ht="15" hidden="false" customHeight="true" outlineLevel="0" collapsed="false">
      <c r="A57" s="4" t="s">
        <v>85</v>
      </c>
      <c r="B57" s="4" t="s">
        <v>86</v>
      </c>
      <c r="C57" s="4" t="s">
        <v>87</v>
      </c>
      <c r="D57" s="4" t="s">
        <v>66</v>
      </c>
    </row>
    <row r="58" customFormat="false" ht="15" hidden="false" customHeight="true" outlineLevel="0" collapsed="false">
      <c r="A58" s="21" t="s">
        <v>180</v>
      </c>
      <c r="B58" s="22" t="n">
        <v>2</v>
      </c>
      <c r="C58" s="23" t="s">
        <v>181</v>
      </c>
      <c r="D58" s="23" t="s">
        <v>182</v>
      </c>
    </row>
    <row r="59" customFormat="false" ht="15" hidden="false" customHeight="true" outlineLevel="0" collapsed="false">
      <c r="A59" s="21" t="s">
        <v>183</v>
      </c>
      <c r="B59" s="22" t="n">
        <v>8</v>
      </c>
      <c r="C59" s="23" t="s">
        <v>163</v>
      </c>
      <c r="D59" s="23" t="s">
        <v>184</v>
      </c>
    </row>
    <row r="60" customFormat="false" ht="15" hidden="false" customHeight="true" outlineLevel="0" collapsed="false">
      <c r="A60" s="21" t="s">
        <v>185</v>
      </c>
      <c r="B60" s="22" t="n">
        <v>8</v>
      </c>
      <c r="C60" s="23" t="s">
        <v>163</v>
      </c>
      <c r="D60" s="23" t="s">
        <v>186</v>
      </c>
    </row>
    <row r="61" customFormat="false" ht="15" hidden="false" customHeight="true" outlineLevel="0" collapsed="false">
      <c r="A61" s="21" t="s">
        <v>187</v>
      </c>
      <c r="B61" s="25" t="s">
        <v>79</v>
      </c>
      <c r="C61" s="23" t="s">
        <v>109</v>
      </c>
      <c r="D61" s="23" t="s">
        <v>188</v>
      </c>
    </row>
    <row r="62" customFormat="false" ht="15" hidden="false" customHeight="true" outlineLevel="0" collapsed="false">
      <c r="A62" s="21" t="s">
        <v>189</v>
      </c>
      <c r="B62" s="26" t="n">
        <f aca="false">INDEX(Silicon!$B$21:$B$26,MATCH($B$61,Silicon!$A$21:$A$26,0))</f>
        <v>50</v>
      </c>
      <c r="C62" s="23" t="s">
        <v>121</v>
      </c>
      <c r="D62" s="23" t="s">
        <v>190</v>
      </c>
    </row>
    <row r="63" customFormat="false" ht="15" hidden="false" customHeight="true" outlineLevel="0" collapsed="false">
      <c r="A63" s="21" t="s">
        <v>191</v>
      </c>
      <c r="B63" s="26" t="n">
        <f aca="false">INDEX(Silicon!$C$21:$C$26,MATCH($B$61,Silicon!$A$21:$A$26,0))</f>
        <v>6</v>
      </c>
      <c r="C63" s="23" t="s">
        <v>170</v>
      </c>
      <c r="D63" s="23" t="s">
        <v>192</v>
      </c>
    </row>
    <row r="64" customFormat="false" ht="15" hidden="false" customHeight="true" outlineLevel="0" collapsed="false">
      <c r="A64" s="21" t="s">
        <v>193</v>
      </c>
      <c r="B64" s="22" t="n">
        <v>2</v>
      </c>
      <c r="C64" s="23" t="s">
        <v>194</v>
      </c>
      <c r="D64" s="23" t="s">
        <v>195</v>
      </c>
    </row>
    <row r="65" customFormat="false" ht="15" hidden="false" customHeight="true" outlineLevel="0" collapsed="false">
      <c r="A65" s="21" t="s">
        <v>196</v>
      </c>
      <c r="B65" s="22" t="n">
        <v>8</v>
      </c>
      <c r="C65" s="23" t="s">
        <v>197</v>
      </c>
      <c r="D65" s="23" t="s">
        <v>198</v>
      </c>
    </row>
    <row r="67" customFormat="false" ht="15" hidden="false" customHeight="true" outlineLevel="0" collapsed="false">
      <c r="A67" s="17" t="s">
        <v>199</v>
      </c>
      <c r="B67" s="17"/>
      <c r="C67" s="17"/>
      <c r="D67" s="17"/>
    </row>
    <row r="68" customFormat="false" ht="15" hidden="false" customHeight="false" outlineLevel="0" collapsed="false">
      <c r="A68" s="4" t="s">
        <v>85</v>
      </c>
      <c r="B68" s="4" t="s">
        <v>86</v>
      </c>
      <c r="C68" s="4" t="s">
        <v>87</v>
      </c>
      <c r="D68" s="4" t="s">
        <v>66</v>
      </c>
    </row>
    <row r="69" customFormat="false" ht="15" hidden="false" customHeight="false" outlineLevel="0" collapsed="false">
      <c r="A69" s="28" t="s">
        <v>200</v>
      </c>
      <c r="B69" s="29" t="n">
        <v>0.7</v>
      </c>
      <c r="C69" s="30" t="s">
        <v>104</v>
      </c>
      <c r="D69" s="30" t="s">
        <v>201</v>
      </c>
    </row>
    <row r="70" customFormat="false" ht="15" hidden="false" customHeight="false" outlineLevel="0" collapsed="false">
      <c r="A70" s="28" t="s">
        <v>202</v>
      </c>
      <c r="B70" s="31" t="n">
        <v>0.64</v>
      </c>
      <c r="C70" s="30" t="s">
        <v>104</v>
      </c>
      <c r="D70" s="30" t="s">
        <v>203</v>
      </c>
    </row>
    <row r="71" customFormat="false" ht="15" hidden="false" customHeight="false" outlineLevel="0" collapsed="false">
      <c r="A71" s="28" t="s">
        <v>204</v>
      </c>
      <c r="B71" s="32" t="n">
        <f aca="false">B69*B70</f>
        <v>0.448</v>
      </c>
      <c r="C71" s="30" t="s">
        <v>104</v>
      </c>
      <c r="D71" s="30" t="s">
        <v>205</v>
      </c>
    </row>
    <row r="72" customFormat="false" ht="15" hidden="false" customHeight="false" outlineLevel="0" collapsed="false">
      <c r="A72" s="28" t="s">
        <v>206</v>
      </c>
      <c r="B72" s="29" t="n">
        <v>0.85</v>
      </c>
      <c r="C72" s="30" t="s">
        <v>104</v>
      </c>
      <c r="D72" s="30" t="s">
        <v>207</v>
      </c>
    </row>
  </sheetData>
  <mergeCells count="8">
    <mergeCell ref="A1:D1"/>
    <mergeCell ref="A2:D2"/>
    <mergeCell ref="A4:D4"/>
    <mergeCell ref="A16:D16"/>
    <mergeCell ref="A26:D26"/>
    <mergeCell ref="A46:D46"/>
    <mergeCell ref="A56:D56"/>
    <mergeCell ref="A67:D67"/>
  </mergeCells>
  <dataValidations count="4">
    <dataValidation allowBlank="false" errorStyle="stop" operator="between" prompt="Choose the compute precision to pull dense TFLOPS for." showDropDown="false" showErrorMessage="false" showInputMessage="false" sqref="B19" type="list">
      <formula1>"BF16,FP8,FP4"</formula1>
      <formula2>0</formula2>
    </dataValidation>
    <dataValidation allowBlank="false" error="Pick a silicon part from the Silicon sheet list." errorStyle="stop" operator="between" prompt="Choose the compute silicon to size against." showDropDown="false" showErrorMessage="false" showInputMessage="false" sqref="B18" type="list">
      <formula1>Silicon!$A$5:$A$16</formula1>
      <formula2>0</formula2>
    </dataValidation>
    <dataValidation allowBlank="false" errorStyle="stop" operator="between" prompt="Choose the tensor-parallel interconnect fabric." showDropDown="false" showErrorMessage="false" showInputMessage="false" sqref="B49" type="list">
      <formula1>Silicon!$A$21:$A$26</formula1>
      <formula2>0</formula2>
    </dataValidation>
    <dataValidation allowBlank="false" errorStyle="stop" operator="between" prompt="Choose the inter-node fabric (crosses server boundaries)." showDropDown="false" showErrorMessage="false" showInputMessage="false" sqref="B61" type="list">
      <formula1>Silicon!$A$21:$A$26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6" activeCellId="0" sqref="A6"/>
    </sheetView>
  </sheetViews>
  <sheetFormatPr defaultColWidth="8.71484375" defaultRowHeight="15"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3" min="3" style="1" width="30"/>
    <col collapsed="false" customWidth="true" hidden="false" outlineLevel="0" max="4" min="4" style="1" width="46"/>
    <col collapsed="false" customWidth="true" hidden="false" outlineLevel="0" max="5" min="5" style="1" width="16"/>
    <col collapsed="false" customWidth="true" hidden="false" outlineLevel="0" max="6" min="6" style="1" width="10"/>
    <col collapsed="false" customWidth="true" hidden="false" outlineLevel="0" max="7" min="7" style="1" width="46"/>
  </cols>
  <sheetData>
    <row r="1" customFormat="false" ht="21.75" hidden="false" customHeight="true" outlineLevel="0" collapsed="false">
      <c r="A1" s="2" t="s">
        <v>208</v>
      </c>
      <c r="B1" s="2"/>
      <c r="C1" s="2"/>
      <c r="D1" s="2"/>
      <c r="E1" s="2"/>
      <c r="F1" s="2"/>
      <c r="G1" s="2"/>
    </row>
    <row r="2" customFormat="false" ht="15.75" hidden="false" customHeight="true" outlineLevel="0" collapsed="false">
      <c r="A2" s="3" t="s">
        <v>209</v>
      </c>
      <c r="B2" s="3"/>
      <c r="C2" s="3"/>
      <c r="D2" s="3"/>
      <c r="E2" s="3"/>
      <c r="F2" s="3"/>
      <c r="G2" s="3"/>
    </row>
    <row r="4" customFormat="false" ht="15" hidden="false" customHeight="true" outlineLevel="0" collapsed="false">
      <c r="A4" s="4" t="s">
        <v>210</v>
      </c>
      <c r="B4" s="4" t="s">
        <v>211</v>
      </c>
      <c r="C4" s="4" t="s">
        <v>212</v>
      </c>
      <c r="D4" s="4" t="s">
        <v>213</v>
      </c>
      <c r="E4" s="4" t="s">
        <v>86</v>
      </c>
      <c r="F4" s="4" t="s">
        <v>87</v>
      </c>
      <c r="G4" s="4" t="s">
        <v>214</v>
      </c>
    </row>
    <row r="5" customFormat="false" ht="53.25" hidden="false" customHeight="true" outlineLevel="0" collapsed="false">
      <c r="A5" s="33" t="n">
        <v>1</v>
      </c>
      <c r="B5" s="34" t="s">
        <v>215</v>
      </c>
      <c r="C5" s="20" t="s">
        <v>216</v>
      </c>
      <c r="D5" s="35" t="s">
        <v>217</v>
      </c>
      <c r="E5" s="36" t="n">
        <f aca="false">Params*WeightBytes/1000000000</f>
        <v>55.6</v>
      </c>
      <c r="F5" s="20" t="s">
        <v>124</v>
      </c>
      <c r="G5" s="20" t="s">
        <v>218</v>
      </c>
    </row>
    <row r="6" customFormat="false" ht="52.5" hidden="false" customHeight="true" outlineLevel="0" collapsed="false">
      <c r="A6" s="33" t="n">
        <v>2</v>
      </c>
      <c r="B6" s="34" t="s">
        <v>219</v>
      </c>
      <c r="C6" s="20" t="s">
        <v>220</v>
      </c>
      <c r="D6" s="35" t="s">
        <v>221</v>
      </c>
      <c r="E6" s="36" t="n">
        <f aca="false">2*KvHeads*HeadDim*KVBytes*FullAttnLayers*Concurrency*(InputTokens+OutputTokens)/1000000000</f>
        <v>4.295491584</v>
      </c>
      <c r="F6" s="20" t="s">
        <v>124</v>
      </c>
      <c r="G6" s="20" t="s">
        <v>222</v>
      </c>
    </row>
    <row r="7" customFormat="false" ht="52.5" hidden="false" customHeight="true" outlineLevel="0" collapsed="false">
      <c r="A7" s="33" t="n">
        <v>3</v>
      </c>
      <c r="B7" s="34" t="s">
        <v>223</v>
      </c>
      <c r="C7" s="20" t="s">
        <v>224</v>
      </c>
      <c r="D7" s="35" t="s">
        <v>225</v>
      </c>
      <c r="E7" s="36" t="n">
        <f aca="false">VHeads*DHeadDim^2*KVBytes*DeltaNetLayers*Concurrency/1000000000</f>
        <v>0.603979776</v>
      </c>
      <c r="F7" s="20" t="s">
        <v>124</v>
      </c>
      <c r="G7" s="20" t="s">
        <v>226</v>
      </c>
    </row>
    <row r="8" customFormat="false" ht="52.5" hidden="false" customHeight="true" outlineLevel="0" collapsed="false">
      <c r="A8" s="37" t="n">
        <v>4</v>
      </c>
      <c r="B8" s="38" t="s">
        <v>227</v>
      </c>
      <c r="C8" s="39" t="s">
        <v>228</v>
      </c>
      <c r="D8" s="40" t="s">
        <v>229</v>
      </c>
      <c r="E8" s="41" t="n">
        <f aca="false">E5+E6+E7</f>
        <v>60.49947136</v>
      </c>
      <c r="F8" s="39" t="s">
        <v>124</v>
      </c>
      <c r="G8" s="39"/>
    </row>
    <row r="9" customFormat="false" ht="52.5" hidden="false" customHeight="true" outlineLevel="0" collapsed="false">
      <c r="A9" s="33" t="n">
        <v>5</v>
      </c>
      <c r="B9" s="34" t="s">
        <v>103</v>
      </c>
      <c r="C9" s="20" t="s">
        <v>230</v>
      </c>
      <c r="D9" s="35" t="s">
        <v>231</v>
      </c>
      <c r="E9" s="36" t="n">
        <f aca="false">E8*OverheadPct</f>
        <v>7.2599365632</v>
      </c>
      <c r="F9" s="20" t="s">
        <v>124</v>
      </c>
      <c r="G9" s="20" t="s">
        <v>232</v>
      </c>
    </row>
    <row r="10" customFormat="false" ht="30" hidden="false" customHeight="true" outlineLevel="0" collapsed="false">
      <c r="A10" s="37" t="n">
        <v>6</v>
      </c>
      <c r="B10" s="38" t="s">
        <v>233</v>
      </c>
      <c r="C10" s="39" t="s">
        <v>234</v>
      </c>
      <c r="D10" s="40" t="s">
        <v>235</v>
      </c>
      <c r="E10" s="41" t="n">
        <f aca="false">E8+E9</f>
        <v>67.7594079232</v>
      </c>
      <c r="F10" s="39" t="s">
        <v>124</v>
      </c>
      <c r="G10" s="39" t="s">
        <v>236</v>
      </c>
    </row>
    <row r="12" customFormat="false" ht="15" hidden="false" customHeight="true" outlineLevel="0" collapsed="false">
      <c r="A12" s="17" t="s">
        <v>237</v>
      </c>
      <c r="B12" s="17"/>
      <c r="C12" s="17"/>
      <c r="D12" s="17"/>
      <c r="E12" s="17"/>
      <c r="F12" s="17"/>
      <c r="G12" s="17"/>
    </row>
    <row r="13" customFormat="false" ht="45.75" hidden="false" customHeight="true" outlineLevel="0" collapsed="false">
      <c r="A13" s="4" t="s">
        <v>238</v>
      </c>
      <c r="B13" s="4" t="s">
        <v>239</v>
      </c>
      <c r="C13" s="4"/>
      <c r="D13" s="4" t="s">
        <v>240</v>
      </c>
      <c r="E13" s="4"/>
      <c r="F13" s="4"/>
      <c r="G13" s="4"/>
    </row>
    <row r="14" customFormat="false" ht="15" hidden="false" customHeight="true" outlineLevel="0" collapsed="false">
      <c r="A14" s="42" t="s">
        <v>241</v>
      </c>
      <c r="B14" s="43" t="n">
        <f aca="false">SelectedSiliconCapacityGB</f>
        <v>32</v>
      </c>
      <c r="C14" s="44"/>
      <c r="D14" s="42" t="str">
        <f aca="false">IF(B14&gt;=$E$10,"Yes — single chip","No — needs multiple chips / tensor-parallel")</f>
        <v>No — needs multiple chips / tensor-parallel</v>
      </c>
      <c r="E14" s="42"/>
      <c r="F14" s="42"/>
      <c r="G14" s="42"/>
    </row>
    <row r="15" customFormat="false" ht="15" hidden="false" customHeight="true" outlineLevel="0" collapsed="false">
      <c r="A15" s="21" t="s">
        <v>242</v>
      </c>
      <c r="B15" s="45" t="n">
        <v>24</v>
      </c>
      <c r="C15" s="46"/>
      <c r="D15" s="21" t="str">
        <f aca="false">IF(B15&gt;=$E$10,"Yes","No")</f>
        <v>No</v>
      </c>
      <c r="E15" s="21"/>
      <c r="F15" s="21"/>
      <c r="G15" s="21"/>
    </row>
    <row r="16" customFormat="false" ht="15" hidden="false" customHeight="true" outlineLevel="0" collapsed="false">
      <c r="A16" s="21" t="s">
        <v>243</v>
      </c>
      <c r="B16" s="45" t="n">
        <v>48</v>
      </c>
      <c r="C16" s="46"/>
      <c r="D16" s="21" t="str">
        <f aca="false">IF(B16&gt;=$E$10,"Yes","No")</f>
        <v>No</v>
      </c>
      <c r="E16" s="21"/>
      <c r="F16" s="21"/>
      <c r="G16" s="21"/>
    </row>
    <row r="17" customFormat="false" ht="15" hidden="false" customHeight="true" outlineLevel="0" collapsed="false">
      <c r="A17" s="21" t="s">
        <v>244</v>
      </c>
      <c r="B17" s="45" t="n">
        <v>80</v>
      </c>
      <c r="C17" s="46"/>
      <c r="D17" s="21" t="str">
        <f aca="false">IF(B17&gt;=$E$10,"Yes","No")</f>
        <v>Yes</v>
      </c>
      <c r="E17" s="21"/>
      <c r="F17" s="21"/>
      <c r="G17" s="21"/>
    </row>
    <row r="18" customFormat="false" ht="15" hidden="false" customHeight="true" outlineLevel="0" collapsed="false">
      <c r="A18" s="21" t="s">
        <v>245</v>
      </c>
      <c r="B18" s="45" t="n">
        <v>141</v>
      </c>
      <c r="C18" s="46"/>
      <c r="D18" s="21" t="str">
        <f aca="false">IF(B18&gt;=$E$10,"Yes","No")</f>
        <v>Yes</v>
      </c>
      <c r="E18" s="21"/>
      <c r="F18" s="21"/>
      <c r="G18" s="21"/>
    </row>
    <row r="19" customFormat="false" ht="15" hidden="false" customHeight="true" outlineLevel="0" collapsed="false">
      <c r="A19" s="21" t="s">
        <v>246</v>
      </c>
      <c r="B19" s="45" t="n">
        <v>192</v>
      </c>
      <c r="C19" s="46"/>
      <c r="D19" s="21" t="str">
        <f aca="false">IF(B19&gt;=$E$10,"Yes","No")</f>
        <v>Yes</v>
      </c>
      <c r="E19" s="21"/>
      <c r="F19" s="21"/>
      <c r="G19" s="21"/>
    </row>
    <row r="20" customFormat="false" ht="15" hidden="false" customHeight="true" outlineLevel="0" collapsed="false">
      <c r="A20" s="21" t="s">
        <v>247</v>
      </c>
      <c r="B20" s="45" t="n">
        <v>160</v>
      </c>
      <c r="C20" s="46"/>
      <c r="D20" s="21" t="str">
        <f aca="false">IF(B20&gt;=$E$10,"Yes","No")</f>
        <v>Yes</v>
      </c>
      <c r="E20" s="21"/>
      <c r="F20" s="21"/>
      <c r="G20" s="21"/>
    </row>
    <row r="21" customFormat="false" ht="15" hidden="false" customHeight="true" outlineLevel="0" collapsed="false">
      <c r="A21" s="21" t="s">
        <v>248</v>
      </c>
      <c r="B21" s="45" t="n">
        <v>320</v>
      </c>
      <c r="C21" s="46"/>
      <c r="D21" s="21" t="str">
        <f aca="false">IF(B21&gt;=$E$10,"Yes","No")</f>
        <v>Yes</v>
      </c>
      <c r="E21" s="21"/>
      <c r="F21" s="21"/>
      <c r="G21" s="21"/>
    </row>
    <row r="22" customFormat="false" ht="15" hidden="false" customHeight="true" outlineLevel="0" collapsed="false">
      <c r="A22" s="21" t="s">
        <v>249</v>
      </c>
      <c r="B22" s="45" t="n">
        <v>640</v>
      </c>
      <c r="C22" s="46"/>
      <c r="D22" s="21" t="str">
        <f aca="false">IF(B22&gt;=$E$10,"Yes","No")</f>
        <v>Yes</v>
      </c>
      <c r="E22" s="21"/>
      <c r="F22" s="21"/>
      <c r="G22" s="21"/>
    </row>
  </sheetData>
  <mergeCells count="12">
    <mergeCell ref="A1:G1"/>
    <mergeCell ref="A2:G2"/>
    <mergeCell ref="A12:G12"/>
    <mergeCell ref="D14:G14"/>
    <mergeCell ref="D15:G15"/>
    <mergeCell ref="D16:G16"/>
    <mergeCell ref="D17:G17"/>
    <mergeCell ref="D18:G18"/>
    <mergeCell ref="D19:G19"/>
    <mergeCell ref="D20:G20"/>
    <mergeCell ref="D21:G21"/>
    <mergeCell ref="D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D16" activeCellId="0" sqref="D16"/>
    </sheetView>
  </sheetViews>
  <sheetFormatPr defaultColWidth="8.71484375" defaultRowHeight="15" zeroHeight="false" outlineLevelRow="0" outlineLevelCol="0"/>
  <cols>
    <col collapsed="false" customWidth="true" hidden="false" outlineLevel="0" max="1" min="1" style="1" width="4"/>
    <col collapsed="false" customWidth="true" hidden="false" outlineLevel="0" max="2" min="2" style="1" width="35.43"/>
    <col collapsed="false" customWidth="true" hidden="false" outlineLevel="0" max="3" min="3" style="1" width="45.29"/>
    <col collapsed="false" customWidth="true" hidden="false" outlineLevel="0" max="4" min="4" style="1" width="52"/>
    <col collapsed="false" customWidth="true" hidden="false" outlineLevel="0" max="5" min="5" style="1" width="18"/>
    <col collapsed="false" customWidth="true" hidden="false" outlineLevel="0" max="6" min="6" style="1" width="12"/>
    <col collapsed="false" customWidth="true" hidden="false" outlineLevel="0" max="7" min="7" style="1" width="46"/>
  </cols>
  <sheetData>
    <row r="1" customFormat="false" ht="21.75" hidden="false" customHeight="true" outlineLevel="0" collapsed="false">
      <c r="A1" s="2" t="s">
        <v>250</v>
      </c>
      <c r="B1" s="2"/>
      <c r="C1" s="2"/>
      <c r="D1" s="2"/>
      <c r="E1" s="2"/>
      <c r="F1" s="2"/>
      <c r="G1" s="2"/>
    </row>
    <row r="2" customFormat="false" ht="15.75" hidden="false" customHeight="true" outlineLevel="0" collapsed="false">
      <c r="A2" s="3" t="s">
        <v>251</v>
      </c>
      <c r="B2" s="3"/>
      <c r="C2" s="3"/>
      <c r="D2" s="3"/>
      <c r="E2" s="3"/>
      <c r="F2" s="3"/>
      <c r="G2" s="3"/>
    </row>
    <row r="4" customFormat="false" ht="15" hidden="false" customHeight="true" outlineLevel="0" collapsed="false">
      <c r="A4" s="4" t="s">
        <v>210</v>
      </c>
      <c r="B4" s="4" t="s">
        <v>211</v>
      </c>
      <c r="C4" s="4" t="s">
        <v>212</v>
      </c>
      <c r="D4" s="4" t="s">
        <v>213</v>
      </c>
      <c r="E4" s="4" t="s">
        <v>86</v>
      </c>
      <c r="F4" s="4" t="s">
        <v>87</v>
      </c>
      <c r="G4" s="4" t="s">
        <v>214</v>
      </c>
    </row>
    <row r="5" customFormat="false" ht="69.75" hidden="false" customHeight="true" outlineLevel="0" collapsed="false">
      <c r="A5" s="33" t="n">
        <v>1</v>
      </c>
      <c r="B5" s="34" t="s">
        <v>252</v>
      </c>
      <c r="C5" s="20" t="s">
        <v>253</v>
      </c>
      <c r="D5" s="35" t="s">
        <v>254</v>
      </c>
      <c r="E5" s="36" t="n">
        <f aca="false">2*Params*InputTokens*Concurrency/1000000000000</f>
        <v>3643.8016</v>
      </c>
      <c r="F5" s="20" t="s">
        <v>255</v>
      </c>
      <c r="G5" s="20" t="s">
        <v>256</v>
      </c>
    </row>
    <row r="6" customFormat="false" ht="54.75" hidden="false" customHeight="true" outlineLevel="0" collapsed="false">
      <c r="A6" s="33" t="n">
        <v>2</v>
      </c>
      <c r="B6" s="34" t="s">
        <v>257</v>
      </c>
      <c r="C6" s="20" t="s">
        <v>258</v>
      </c>
      <c r="D6" s="35" t="s">
        <v>259</v>
      </c>
      <c r="E6" s="36" t="n">
        <f aca="false">2*Nq*HeadDim*InputTokens^2*Concurrency*FullAttnLayers/1000000000000</f>
        <v>105.553116266496</v>
      </c>
      <c r="F6" s="20" t="s">
        <v>255</v>
      </c>
      <c r="G6" s="20" t="s">
        <v>260</v>
      </c>
    </row>
    <row r="7" customFormat="false" ht="56.25" hidden="false" customHeight="true" outlineLevel="0" collapsed="false">
      <c r="A7" s="33" t="n">
        <v>3</v>
      </c>
      <c r="B7" s="34" t="s">
        <v>261</v>
      </c>
      <c r="C7" s="20" t="s">
        <v>262</v>
      </c>
      <c r="D7" s="35" t="s">
        <v>263</v>
      </c>
      <c r="E7" s="36" t="n">
        <f aca="false">CConst*VHeads*DHeadDim^2*InputTokens*Concurrency*DeltaNetLayers/1000000000000</f>
        <v>12.36950581248</v>
      </c>
      <c r="F7" s="20" t="s">
        <v>255</v>
      </c>
      <c r="G7" s="20" t="s">
        <v>264</v>
      </c>
    </row>
    <row r="8" customFormat="false" ht="44.25" hidden="false" customHeight="true" outlineLevel="0" collapsed="false">
      <c r="A8" s="37" t="n">
        <v>4</v>
      </c>
      <c r="B8" s="38" t="s">
        <v>265</v>
      </c>
      <c r="C8" s="39" t="s">
        <v>228</v>
      </c>
      <c r="D8" s="40" t="s">
        <v>229</v>
      </c>
      <c r="E8" s="41" t="n">
        <f aca="false">E5+E6+E7</f>
        <v>3761.72422207898</v>
      </c>
      <c r="F8" s="39" t="s">
        <v>255</v>
      </c>
      <c r="G8" s="39"/>
    </row>
    <row r="9" customFormat="false" ht="82.5" hidden="false" customHeight="true" outlineLevel="0" collapsed="false">
      <c r="A9" s="33" t="n">
        <v>5</v>
      </c>
      <c r="B9" s="34" t="s">
        <v>266</v>
      </c>
      <c r="C9" s="20" t="s">
        <v>267</v>
      </c>
      <c r="D9" s="35" t="s">
        <v>268</v>
      </c>
      <c r="E9" s="47" t="n">
        <f aca="false">E8/(PeakTFLOPS*EffComputeMFU)</f>
        <v>45.7586150019338</v>
      </c>
      <c r="F9" s="20" t="s">
        <v>269</v>
      </c>
      <c r="G9" s="20" t="s">
        <v>270</v>
      </c>
    </row>
    <row r="10" customFormat="false" ht="31.5" hidden="false" customHeight="true" outlineLevel="0" collapsed="false">
      <c r="A10" s="33" t="n">
        <v>6</v>
      </c>
      <c r="B10" s="34" t="s">
        <v>271</v>
      </c>
      <c r="C10" s="20" t="s">
        <v>272</v>
      </c>
      <c r="D10" s="35" t="s">
        <v>273</v>
      </c>
      <c r="E10" s="48" t="n">
        <f aca="false">E8/E9</f>
        <v>82.208</v>
      </c>
      <c r="F10" s="20" t="s">
        <v>118</v>
      </c>
      <c r="G10" s="20" t="s">
        <v>274</v>
      </c>
    </row>
    <row r="12" customFormat="false" ht="15" hidden="false" customHeight="true" outlineLevel="0" collapsed="false">
      <c r="A12" s="17" t="s">
        <v>275</v>
      </c>
      <c r="B12" s="17"/>
      <c r="C12" s="17"/>
      <c r="D12" s="17"/>
      <c r="E12" s="17"/>
      <c r="F12" s="17"/>
      <c r="G12" s="17"/>
    </row>
    <row r="13" customFormat="false" ht="48" hidden="false" customHeight="true" outlineLevel="0" collapsed="false">
      <c r="A13" s="3" t="s">
        <v>276</v>
      </c>
      <c r="B13" s="3"/>
      <c r="C13" s="3"/>
      <c r="D13" s="3"/>
      <c r="E13" s="3"/>
      <c r="F13" s="3"/>
      <c r="G13" s="3"/>
    </row>
  </sheetData>
  <mergeCells count="4">
    <mergeCell ref="A1:G1"/>
    <mergeCell ref="A2:G2"/>
    <mergeCell ref="A12:G12"/>
    <mergeCell ref="A13:G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15" activePane="bottomLeft" state="frozen"/>
      <selection pane="topLeft" activeCell="A1" activeCellId="0" sqref="A1"/>
      <selection pane="bottomLeft" activeCell="E18" activeCellId="0" sqref="E18"/>
    </sheetView>
  </sheetViews>
  <sheetFormatPr defaultColWidth="8.71484375" defaultRowHeight="15"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3" min="3" style="1" width="34"/>
    <col collapsed="false" customWidth="true" hidden="false" outlineLevel="0" max="4" min="4" style="1" width="54"/>
    <col collapsed="false" customWidth="true" hidden="false" outlineLevel="0" max="5" min="5" style="1" width="18"/>
    <col collapsed="false" customWidth="true" hidden="false" outlineLevel="0" max="6" min="6" style="1" width="12"/>
    <col collapsed="false" customWidth="true" hidden="false" outlineLevel="0" max="7" min="7" style="1" width="44"/>
  </cols>
  <sheetData>
    <row r="1" customFormat="false" ht="21.75" hidden="false" customHeight="true" outlineLevel="0" collapsed="false">
      <c r="A1" s="2" t="s">
        <v>277</v>
      </c>
      <c r="B1" s="2"/>
      <c r="C1" s="2"/>
      <c r="D1" s="2"/>
      <c r="E1" s="2"/>
      <c r="F1" s="2"/>
      <c r="G1" s="2"/>
    </row>
    <row r="2" customFormat="false" ht="15.75" hidden="false" customHeight="true" outlineLevel="0" collapsed="false">
      <c r="A2" s="3" t="s">
        <v>278</v>
      </c>
      <c r="B2" s="3"/>
      <c r="C2" s="3"/>
      <c r="D2" s="3"/>
      <c r="E2" s="3"/>
      <c r="F2" s="3"/>
      <c r="G2" s="3"/>
    </row>
    <row r="4" customFormat="false" ht="15" hidden="false" customHeight="true" outlineLevel="0" collapsed="false">
      <c r="A4" s="17" t="s">
        <v>279</v>
      </c>
      <c r="B4" s="17"/>
      <c r="C4" s="17"/>
      <c r="D4" s="17"/>
      <c r="E4" s="17"/>
      <c r="F4" s="17"/>
      <c r="G4" s="17"/>
    </row>
    <row r="5" customFormat="false" ht="15" hidden="false" customHeight="true" outlineLevel="0" collapsed="false">
      <c r="A5" s="4" t="s">
        <v>210</v>
      </c>
      <c r="B5" s="4" t="s">
        <v>211</v>
      </c>
      <c r="C5" s="4" t="s">
        <v>212</v>
      </c>
      <c r="D5" s="4" t="s">
        <v>213</v>
      </c>
      <c r="E5" s="4" t="s">
        <v>86</v>
      </c>
      <c r="F5" s="4" t="s">
        <v>87</v>
      </c>
      <c r="G5" s="4" t="s">
        <v>214</v>
      </c>
    </row>
    <row r="6" customFormat="false" ht="31.5" hidden="false" customHeight="true" outlineLevel="0" collapsed="false">
      <c r="A6" s="33" t="s">
        <v>280</v>
      </c>
      <c r="B6" s="34" t="s">
        <v>281</v>
      </c>
      <c r="C6" s="20" t="s">
        <v>282</v>
      </c>
      <c r="D6" s="35" t="s">
        <v>283</v>
      </c>
      <c r="E6" s="49" t="n">
        <f aca="false">'Prefill TFLOPs'!E8</f>
        <v>3761.72422207898</v>
      </c>
      <c r="F6" s="20" t="s">
        <v>255</v>
      </c>
      <c r="G6" s="20" t="s">
        <v>284</v>
      </c>
    </row>
    <row r="7" customFormat="false" ht="31.5" hidden="false" customHeight="true" outlineLevel="0" collapsed="false">
      <c r="A7" s="33" t="s">
        <v>285</v>
      </c>
      <c r="B7" s="34" t="s">
        <v>286</v>
      </c>
      <c r="C7" s="20" t="s">
        <v>287</v>
      </c>
      <c r="D7" s="35" t="s">
        <v>268</v>
      </c>
      <c r="E7" s="50" t="n">
        <f aca="false">E6/(PeakTFLOPS*EffComputeMFU)</f>
        <v>45.7586150019338</v>
      </c>
      <c r="F7" s="20" t="s">
        <v>269</v>
      </c>
      <c r="G7" s="20" t="s">
        <v>288</v>
      </c>
    </row>
    <row r="9" customFormat="false" ht="15" hidden="false" customHeight="true" outlineLevel="0" collapsed="false">
      <c r="A9" s="17" t="s">
        <v>289</v>
      </c>
      <c r="B9" s="17"/>
      <c r="C9" s="17"/>
      <c r="D9" s="17"/>
      <c r="E9" s="17"/>
      <c r="F9" s="17"/>
      <c r="G9" s="17"/>
    </row>
    <row r="10" customFormat="false" ht="15" hidden="false" customHeight="true" outlineLevel="0" collapsed="false">
      <c r="A10" s="4" t="s">
        <v>210</v>
      </c>
      <c r="B10" s="4" t="s">
        <v>211</v>
      </c>
      <c r="C10" s="4" t="s">
        <v>212</v>
      </c>
      <c r="D10" s="4" t="s">
        <v>213</v>
      </c>
      <c r="E10" s="4" t="s">
        <v>86</v>
      </c>
      <c r="F10" s="4" t="s">
        <v>87</v>
      </c>
      <c r="G10" s="4" t="s">
        <v>214</v>
      </c>
    </row>
    <row r="11" customFormat="false" ht="31.5" hidden="false" customHeight="true" outlineLevel="0" collapsed="false">
      <c r="A11" s="33" t="s">
        <v>290</v>
      </c>
      <c r="B11" s="34" t="s">
        <v>291</v>
      </c>
      <c r="C11" s="20" t="s">
        <v>292</v>
      </c>
      <c r="D11" s="35" t="s">
        <v>293</v>
      </c>
      <c r="E11" s="36" t="n">
        <f aca="false">E6/TP</f>
        <v>940.431055519744</v>
      </c>
      <c r="F11" s="20" t="s">
        <v>294</v>
      </c>
      <c r="G11" s="20" t="s">
        <v>295</v>
      </c>
    </row>
    <row r="12" customFormat="false" ht="31.5" hidden="false" customHeight="true" outlineLevel="0" collapsed="false">
      <c r="A12" s="33" t="s">
        <v>296</v>
      </c>
      <c r="B12" s="34" t="s">
        <v>297</v>
      </c>
      <c r="C12" s="20" t="s">
        <v>298</v>
      </c>
      <c r="D12" s="35" t="s">
        <v>299</v>
      </c>
      <c r="E12" s="50" t="n">
        <f aca="false">E11/(PeakTFLOPS*EffComputeMFU)</f>
        <v>11.4396537504835</v>
      </c>
      <c r="F12" s="20" t="s">
        <v>269</v>
      </c>
      <c r="G12" s="20" t="s">
        <v>300</v>
      </c>
    </row>
    <row r="14" customFormat="false" ht="15" hidden="false" customHeight="true" outlineLevel="0" collapsed="false">
      <c r="A14" s="17" t="s">
        <v>301</v>
      </c>
      <c r="B14" s="17"/>
      <c r="C14" s="17"/>
      <c r="D14" s="17"/>
      <c r="E14" s="17"/>
      <c r="F14" s="17"/>
      <c r="G14" s="17"/>
    </row>
    <row r="15" customFormat="false" ht="15" hidden="false" customHeight="true" outlineLevel="0" collapsed="false">
      <c r="A15" s="4" t="s">
        <v>210</v>
      </c>
      <c r="B15" s="4" t="s">
        <v>211</v>
      </c>
      <c r="C15" s="4" t="s">
        <v>212</v>
      </c>
      <c r="D15" s="4" t="s">
        <v>213</v>
      </c>
      <c r="E15" s="4" t="s">
        <v>86</v>
      </c>
      <c r="F15" s="4" t="s">
        <v>87</v>
      </c>
      <c r="G15" s="4" t="s">
        <v>214</v>
      </c>
    </row>
    <row r="16" customFormat="false" ht="31.5" hidden="false" customHeight="true" outlineLevel="0" collapsed="false">
      <c r="A16" s="33" t="s">
        <v>302</v>
      </c>
      <c r="B16" s="34" t="s">
        <v>303</v>
      </c>
      <c r="C16" s="20" t="s">
        <v>304</v>
      </c>
      <c r="D16" s="35" t="s">
        <v>305</v>
      </c>
      <c r="E16" s="36" t="n">
        <f aca="false">Concurrency*InputTokens*HiddenComm*ActBytes/1000000000</f>
        <v>0.67108864</v>
      </c>
      <c r="F16" s="20" t="s">
        <v>124</v>
      </c>
      <c r="G16" s="20" t="s">
        <v>306</v>
      </c>
    </row>
    <row r="17" customFormat="false" ht="31.5" hidden="false" customHeight="true" outlineLevel="0" collapsed="false">
      <c r="A17" s="33" t="s">
        <v>307</v>
      </c>
      <c r="B17" s="34" t="s">
        <v>308</v>
      </c>
      <c r="C17" s="20" t="s">
        <v>309</v>
      </c>
      <c r="D17" s="35" t="s">
        <v>310</v>
      </c>
      <c r="E17" s="36" t="n">
        <f aca="false">CollPerLayer*TotalLayers</f>
        <v>128</v>
      </c>
      <c r="F17" s="20" t="s">
        <v>173</v>
      </c>
      <c r="G17" s="20" t="s">
        <v>311</v>
      </c>
    </row>
    <row r="18" customFormat="false" ht="31.5" hidden="false" customHeight="true" outlineLevel="0" collapsed="false">
      <c r="A18" s="33" t="s">
        <v>312</v>
      </c>
      <c r="B18" s="34" t="s">
        <v>313</v>
      </c>
      <c r="C18" s="20" t="s">
        <v>314</v>
      </c>
      <c r="D18" s="35" t="s">
        <v>315</v>
      </c>
      <c r="E18" s="47" t="n">
        <f aca="false">IF(TP&lt;=1,0,2*(TP-1)/TP*E16/(LinkBW*CommEff))</f>
        <v>0.0185042823529412</v>
      </c>
      <c r="F18" s="20" t="s">
        <v>269</v>
      </c>
      <c r="G18" s="20" t="s">
        <v>316</v>
      </c>
    </row>
    <row r="19" customFormat="false" ht="31.5" hidden="false" customHeight="true" outlineLevel="0" collapsed="false">
      <c r="A19" s="33" t="s">
        <v>317</v>
      </c>
      <c r="B19" s="34" t="s">
        <v>318</v>
      </c>
      <c r="C19" s="20" t="s">
        <v>319</v>
      </c>
      <c r="D19" s="35" t="s">
        <v>320</v>
      </c>
      <c r="E19" s="47" t="n">
        <f aca="false">IF(TP&lt;=1,0,2*(TP-1)*LinkLat/1000000)</f>
        <v>2.4E-005</v>
      </c>
      <c r="F19" s="20" t="s">
        <v>269</v>
      </c>
      <c r="G19" s="20" t="s">
        <v>321</v>
      </c>
    </row>
    <row r="20" customFormat="false" ht="31.5" hidden="false" customHeight="true" outlineLevel="0" collapsed="false">
      <c r="A20" s="37" t="s">
        <v>322</v>
      </c>
      <c r="B20" s="38" t="s">
        <v>323</v>
      </c>
      <c r="C20" s="39" t="s">
        <v>324</v>
      </c>
      <c r="D20" s="40" t="s">
        <v>325</v>
      </c>
      <c r="E20" s="51" t="n">
        <f aca="false">E17*(E18+E19)</f>
        <v>2.37162014117647</v>
      </c>
      <c r="F20" s="39" t="s">
        <v>269</v>
      </c>
      <c r="G20" s="39" t="s">
        <v>326</v>
      </c>
    </row>
    <row r="22" customFormat="false" ht="15" hidden="false" customHeight="true" outlineLevel="0" collapsed="false">
      <c r="A22" s="17" t="s">
        <v>327</v>
      </c>
      <c r="B22" s="17"/>
      <c r="C22" s="17"/>
      <c r="D22" s="17"/>
      <c r="E22" s="17"/>
      <c r="F22" s="17"/>
      <c r="G22" s="17"/>
    </row>
    <row r="23" customFormat="false" ht="15" hidden="false" customHeight="true" outlineLevel="0" collapsed="false">
      <c r="A23" s="4" t="s">
        <v>210</v>
      </c>
      <c r="B23" s="4" t="s">
        <v>211</v>
      </c>
      <c r="C23" s="4" t="s">
        <v>212</v>
      </c>
      <c r="D23" s="4" t="s">
        <v>213</v>
      </c>
      <c r="E23" s="4" t="s">
        <v>86</v>
      </c>
      <c r="F23" s="4" t="s">
        <v>87</v>
      </c>
      <c r="G23" s="4" t="s">
        <v>214</v>
      </c>
    </row>
    <row r="24" customFormat="false" ht="31.5" hidden="false" customHeight="true" outlineLevel="0" collapsed="false">
      <c r="A24" s="37" t="s">
        <v>328</v>
      </c>
      <c r="B24" s="38" t="s">
        <v>329</v>
      </c>
      <c r="C24" s="39" t="s">
        <v>330</v>
      </c>
      <c r="D24" s="40" t="s">
        <v>331</v>
      </c>
      <c r="E24" s="51" t="n">
        <f aca="false">(E12+E20)*(1+OverheadPct)</f>
        <v>15.4686267586591</v>
      </c>
      <c r="F24" s="39" t="s">
        <v>269</v>
      </c>
      <c r="G24" s="39" t="s">
        <v>332</v>
      </c>
    </row>
    <row r="25" customFormat="false" ht="31.5" hidden="false" customHeight="true" outlineLevel="0" collapsed="false">
      <c r="A25" s="33" t="s">
        <v>333</v>
      </c>
      <c r="B25" s="34" t="s">
        <v>334</v>
      </c>
      <c r="C25" s="20" t="s">
        <v>335</v>
      </c>
      <c r="D25" s="35" t="s">
        <v>336</v>
      </c>
      <c r="E25" s="36" t="n">
        <f aca="false">E7/E24</f>
        <v>2.95815625497065</v>
      </c>
      <c r="F25" s="20" t="s">
        <v>337</v>
      </c>
      <c r="G25" s="20" t="s">
        <v>338</v>
      </c>
    </row>
    <row r="26" customFormat="false" ht="31.5" hidden="false" customHeight="true" outlineLevel="0" collapsed="false">
      <c r="A26" s="33" t="s">
        <v>339</v>
      </c>
      <c r="B26" s="34" t="s">
        <v>340</v>
      </c>
      <c r="C26" s="20" t="s">
        <v>341</v>
      </c>
      <c r="D26" s="35" t="s">
        <v>342</v>
      </c>
      <c r="E26" s="52" t="n">
        <f aca="false">E25/TP</f>
        <v>0.739539063742662</v>
      </c>
      <c r="F26" s="20" t="s">
        <v>104</v>
      </c>
      <c r="G26" s="20" t="s">
        <v>343</v>
      </c>
    </row>
    <row r="27" customFormat="false" ht="31.5" hidden="false" customHeight="true" outlineLevel="0" collapsed="false">
      <c r="A27" s="53" t="s">
        <v>344</v>
      </c>
      <c r="B27" s="54" t="s">
        <v>345</v>
      </c>
      <c r="C27" s="55" t="s">
        <v>346</v>
      </c>
      <c r="D27" s="56" t="s">
        <v>347</v>
      </c>
      <c r="E27" s="57" t="str">
        <f aca="false">IF(E20&gt;E12,"Communication-bound — adding GPUs mostly buys memory, not speed","Compute-bound scaling — TP still buying real speedup")</f>
        <v>Compute-bound scaling — TP still buying real speedup</v>
      </c>
      <c r="F27" s="55" t="s">
        <v>109</v>
      </c>
      <c r="G27" s="55"/>
    </row>
    <row r="29" customFormat="false" ht="15" hidden="false" customHeight="true" outlineLevel="0" collapsed="false">
      <c r="A29" s="17" t="s">
        <v>348</v>
      </c>
      <c r="B29" s="17"/>
      <c r="C29" s="17"/>
      <c r="D29" s="17"/>
      <c r="E29" s="17"/>
      <c r="F29" s="17"/>
      <c r="G29" s="17"/>
    </row>
    <row r="30" customFormat="false" ht="23.25" hidden="false" customHeight="true" outlineLevel="0" collapsed="false">
      <c r="A30" s="4" t="s">
        <v>349</v>
      </c>
      <c r="B30" s="4" t="s">
        <v>350</v>
      </c>
      <c r="C30" s="4" t="s">
        <v>351</v>
      </c>
      <c r="D30" s="4" t="s">
        <v>352</v>
      </c>
      <c r="E30" s="4" t="s">
        <v>353</v>
      </c>
      <c r="F30" s="4" t="s">
        <v>340</v>
      </c>
      <c r="G30" s="4" t="s">
        <v>354</v>
      </c>
    </row>
    <row r="31" customFormat="false" ht="15" hidden="false" customHeight="true" outlineLevel="0" collapsed="false">
      <c r="A31" s="58" t="n">
        <v>1</v>
      </c>
      <c r="B31" s="59" t="n">
        <f aca="false">E6/1/(PeakTFLOPS*EffComputeMFU)</f>
        <v>45.7586150019338</v>
      </c>
      <c r="C31" s="59" t="n">
        <f aca="false">0</f>
        <v>0</v>
      </c>
      <c r="D31" s="59" t="n">
        <f aca="false">(B31+C31)*(1+OverheadPct)</f>
        <v>51.2496488021659</v>
      </c>
      <c r="E31" s="60" t="n">
        <f aca="false">$E$7/D31</f>
        <v>0.892857142857143</v>
      </c>
      <c r="F31" s="61" t="n">
        <f aca="false">E31/A31</f>
        <v>0.892857142857143</v>
      </c>
      <c r="G31" s="58" t="str">
        <f aca="false">IF(C31&gt;B31,"comm-bound","compute-bound")</f>
        <v>compute-bound</v>
      </c>
    </row>
    <row r="32" customFormat="false" ht="15" hidden="false" customHeight="true" outlineLevel="0" collapsed="false">
      <c r="A32" s="58" t="n">
        <v>2</v>
      </c>
      <c r="B32" s="59" t="n">
        <f aca="false">E6/2/(PeakTFLOPS*EffComputeMFU)</f>
        <v>22.8793075009669</v>
      </c>
      <c r="C32" s="59" t="n">
        <f aca="false">(CollPerLayer*TotalLayers)*(2*(2-1)/2*E16/(LinkBW*CommEff) + 2*(2-1)*LinkLat/1000000)</f>
        <v>1.58005609411765</v>
      </c>
      <c r="D32" s="59" t="n">
        <f aca="false">(B32+C32)*(1+OverheadPct)</f>
        <v>27.3944872264947</v>
      </c>
      <c r="E32" s="60" t="n">
        <f aca="false">$E$7/D32</f>
        <v>1.67035851496713</v>
      </c>
      <c r="F32" s="61" t="n">
        <f aca="false">E32/A32</f>
        <v>0.835179257483567</v>
      </c>
      <c r="G32" s="58" t="str">
        <f aca="false">IF(C32&gt;B32,"comm-bound","compute-bound")</f>
        <v>compute-bound</v>
      </c>
    </row>
    <row r="33" customFormat="false" ht="15" hidden="false" customHeight="true" outlineLevel="0" collapsed="false">
      <c r="A33" s="58" t="n">
        <v>4</v>
      </c>
      <c r="B33" s="59" t="n">
        <f aca="false">E6/4/(PeakTFLOPS*EffComputeMFU)</f>
        <v>11.4396537504835</v>
      </c>
      <c r="C33" s="59" t="n">
        <f aca="false">(CollPerLayer*TotalLayers)*(2*(4-1)/4*E16/(LinkBW*CommEff) + 2*(4-1)*LinkLat/1000000)</f>
        <v>2.37162014117647</v>
      </c>
      <c r="D33" s="59" t="n">
        <f aca="false">(B33+C33)*(1+OverheadPct)</f>
        <v>15.4686267586591</v>
      </c>
      <c r="E33" s="60" t="n">
        <f aca="false">$E$7/D33</f>
        <v>2.95815625497065</v>
      </c>
      <c r="F33" s="61" t="n">
        <f aca="false">E33/A33</f>
        <v>0.739539063742662</v>
      </c>
      <c r="G33" s="58" t="str">
        <f aca="false">IF(C33&gt;B33,"comm-bound","compute-bound")</f>
        <v>compute-bound</v>
      </c>
    </row>
    <row r="34" customFormat="false" ht="15" hidden="false" customHeight="true" outlineLevel="0" collapsed="false">
      <c r="A34" s="58" t="n">
        <v>8</v>
      </c>
      <c r="B34" s="59" t="n">
        <f aca="false">E6/8/(PeakTFLOPS*EffComputeMFU)</f>
        <v>5.71982687524173</v>
      </c>
      <c r="C34" s="59" t="n">
        <f aca="false">(CollPerLayer*TotalLayers)*(2*(8-1)/8*E16/(LinkBW*CommEff) + 2*(8-1)*LinkLat/1000000)</f>
        <v>2.77047416470588</v>
      </c>
      <c r="D34" s="59" t="n">
        <f aca="false">(B34+C34)*(1+OverheadPct)</f>
        <v>9.50913716474132</v>
      </c>
      <c r="E34" s="60" t="n">
        <f aca="false">$E$7/D34</f>
        <v>4.81206803616221</v>
      </c>
      <c r="F34" s="61" t="n">
        <f aca="false">E34/A34</f>
        <v>0.601508504520276</v>
      </c>
      <c r="G34" s="58" t="str">
        <f aca="false">IF(C34&gt;B34,"comm-bound","compute-bound")</f>
        <v>compute-bound</v>
      </c>
    </row>
    <row r="35" customFormat="false" ht="15" hidden="false" customHeight="true" outlineLevel="0" collapsed="false">
      <c r="A35" s="58" t="n">
        <v>16</v>
      </c>
      <c r="B35" s="59" t="n">
        <f aca="false">E6/16/(PeakTFLOPS*EffComputeMFU)</f>
        <v>2.85991343762086</v>
      </c>
      <c r="C35" s="59" t="n">
        <f aca="false">(CollPerLayer*TotalLayers)*(2*(16-1)/16*E16/(LinkBW*CommEff) + 2*(16-1)*LinkLat/1000000)</f>
        <v>2.97604517647059</v>
      </c>
      <c r="D35" s="59" t="n">
        <f aca="false">(B35+C35)*(1+OverheadPct)</f>
        <v>6.53627364778243</v>
      </c>
      <c r="E35" s="60" t="n">
        <f aca="false">$E$7/D35</f>
        <v>7.00071898266659</v>
      </c>
      <c r="F35" s="61" t="n">
        <f aca="false">E35/A35</f>
        <v>0.437544936416662</v>
      </c>
      <c r="G35" s="58" t="str">
        <f aca="false">IF(C35&gt;B35,"comm-bound","compute-bound")</f>
        <v>comm-bound</v>
      </c>
    </row>
    <row r="37" customFormat="false" ht="15" hidden="false" customHeight="true" outlineLevel="0" collapsed="false">
      <c r="A37" s="17" t="s">
        <v>355</v>
      </c>
      <c r="B37" s="17"/>
      <c r="C37" s="17"/>
      <c r="D37" s="17"/>
      <c r="E37" s="17"/>
      <c r="F37" s="17"/>
      <c r="G37" s="17"/>
    </row>
    <row r="38" customFormat="false" ht="150" hidden="false" customHeight="true" outlineLevel="0" collapsed="false">
      <c r="A38" s="3" t="s">
        <v>356</v>
      </c>
      <c r="B38" s="3"/>
      <c r="C38" s="3"/>
      <c r="D38" s="3"/>
      <c r="E38" s="3"/>
      <c r="F38" s="3"/>
      <c r="G38" s="3"/>
    </row>
  </sheetData>
  <mergeCells count="9">
    <mergeCell ref="A1:G1"/>
    <mergeCell ref="A2:G2"/>
    <mergeCell ref="A4:G4"/>
    <mergeCell ref="A9:G9"/>
    <mergeCell ref="A14:G14"/>
    <mergeCell ref="A22:G22"/>
    <mergeCell ref="A29:G29"/>
    <mergeCell ref="A37:G37"/>
    <mergeCell ref="A38:G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18"/>
    <col collapsed="false" customWidth="true" hidden="false" outlineLevel="0" max="4" min="4" style="0" width="16"/>
    <col collapsed="false" customWidth="true" hidden="false" outlineLevel="0" max="5" min="5" style="0" width="20"/>
    <col collapsed="false" customWidth="true" hidden="false" outlineLevel="0" max="7" min="6" style="0" width="18"/>
    <col collapsed="false" customWidth="true" hidden="false" outlineLevel="0" max="8" min="8" style="0" width="16"/>
    <col collapsed="false" customWidth="true" hidden="false" outlineLevel="0" max="9" min="9" style="0" width="40"/>
  </cols>
  <sheetData>
    <row r="1" customFormat="false" ht="21.75" hidden="false" customHeight="true" outlineLevel="0" collapsed="false">
      <c r="A1" s="62" t="s">
        <v>357</v>
      </c>
      <c r="B1" s="62"/>
      <c r="C1" s="62"/>
      <c r="D1" s="62"/>
      <c r="E1" s="62"/>
      <c r="F1" s="62"/>
      <c r="G1" s="62"/>
      <c r="H1" s="62"/>
      <c r="I1" s="62"/>
    </row>
    <row r="2" customFormat="false" ht="30" hidden="false" customHeight="true" outlineLevel="0" collapsed="false">
      <c r="A2" s="63" t="s">
        <v>358</v>
      </c>
      <c r="B2" s="63"/>
      <c r="C2" s="63"/>
      <c r="D2" s="63"/>
      <c r="E2" s="63"/>
      <c r="F2" s="63"/>
      <c r="G2" s="63"/>
      <c r="H2" s="63"/>
      <c r="I2" s="63"/>
    </row>
    <row r="4" customFormat="false" ht="15" hidden="false" customHeight="true" outlineLevel="0" collapsed="false">
      <c r="A4" s="17" t="s">
        <v>359</v>
      </c>
      <c r="B4" s="17"/>
      <c r="C4" s="17"/>
      <c r="D4" s="17"/>
      <c r="E4" s="17"/>
      <c r="F4" s="17"/>
      <c r="G4" s="17"/>
      <c r="H4" s="17"/>
      <c r="I4" s="17"/>
    </row>
    <row r="5" customFormat="false" ht="23.85" hidden="false" customHeight="false" outlineLevel="0" collapsed="false">
      <c r="A5" s="4" t="s">
        <v>210</v>
      </c>
      <c r="B5" s="4" t="s">
        <v>360</v>
      </c>
      <c r="C5" s="4" t="s">
        <v>361</v>
      </c>
      <c r="D5" s="4" t="s">
        <v>362</v>
      </c>
      <c r="E5" s="4" t="s">
        <v>363</v>
      </c>
      <c r="F5" s="4" t="s">
        <v>364</v>
      </c>
      <c r="G5" s="4" t="s">
        <v>365</v>
      </c>
      <c r="H5" s="4" t="s">
        <v>366</v>
      </c>
      <c r="I5" s="4" t="s">
        <v>367</v>
      </c>
    </row>
    <row r="6" customFormat="false" ht="15" hidden="false" customHeight="false" outlineLevel="0" collapsed="false">
      <c r="A6" s="64" t="n">
        <v>1</v>
      </c>
      <c r="B6" s="65" t="n">
        <v>1</v>
      </c>
      <c r="C6" s="66" t="n">
        <v>2.02844</v>
      </c>
      <c r="D6" s="60" t="n">
        <f aca="false">(2*Params*InputTokens*B6 + 2*Nq*HeadDim*InputTokens^2*B6*FullAttnLayers + CConst*VHeads*DHeadDim^2*InputTokens*B6*DeltaNetLayers)/1000000000000</f>
        <v>470.215527759872</v>
      </c>
      <c r="E6" s="60" t="n">
        <f aca="false">D6/TP</f>
        <v>117.553881939968</v>
      </c>
      <c r="F6" s="67" t="n">
        <f aca="false">E6/C6</f>
        <v>57.9528514227525</v>
      </c>
      <c r="G6" s="61" t="n">
        <f aca="false">F6/PeakTFLOPS</f>
        <v>0.315819353802466</v>
      </c>
      <c r="H6" s="60" t="n">
        <f aca="false">(E6/(PeakTFLOPS*EffComputeMFU) + (CollPerLayer*TotalLayers)*(2*(TP-1)/TP*(B6*InputTokens*HiddenComm*ActBytes/1000000000)/(LinkBW*CommEff) + 2*(TP-1)*LinkLat/1000000))*(1+OverheadPct)</f>
        <v>1.93658890483239</v>
      </c>
      <c r="I6" s="61" t="n">
        <f aca="false">(H6-C6)/C6</f>
        <v>-0.0452816426256679</v>
      </c>
    </row>
    <row r="7" customFormat="false" ht="15" hidden="false" customHeight="false" outlineLevel="0" collapsed="false">
      <c r="A7" s="64" t="n">
        <v>2</v>
      </c>
      <c r="B7" s="65" t="n">
        <v>2</v>
      </c>
      <c r="C7" s="66" t="n">
        <v>3.75776</v>
      </c>
      <c r="D7" s="60" t="n">
        <f aca="false">(2*Params*InputTokens*B7 + 2*Nq*HeadDim*InputTokens^2*B7*FullAttnLayers + CConst*VHeads*DHeadDim^2*InputTokens*B7*DeltaNetLayers)/1000000000000</f>
        <v>940.431055519744</v>
      </c>
      <c r="E7" s="60" t="n">
        <f aca="false">D7/TP</f>
        <v>235.107763879936</v>
      </c>
      <c r="F7" s="67" t="n">
        <f aca="false">E7/C7</f>
        <v>62.5659339287065</v>
      </c>
      <c r="G7" s="61" t="n">
        <f aca="false">F7/PeakTFLOPS</f>
        <v>0.34095876800385</v>
      </c>
      <c r="H7" s="60" t="n">
        <f aca="false">(E7/(PeakTFLOPS*EffComputeMFU) + (CollPerLayer*TotalLayers)*(2*(TP-1)/TP*(B7*InputTokens*HiddenComm*ActBytes/1000000000)/(LinkBW*CommEff) + 2*(TP-1)*LinkLat/1000000))*(1+OverheadPct)</f>
        <v>3.86973716966478</v>
      </c>
      <c r="I7" s="61" t="n">
        <f aca="false">(H7-C7)/C7</f>
        <v>0.0297989146898099</v>
      </c>
    </row>
    <row r="8" customFormat="false" ht="15" hidden="false" customHeight="false" outlineLevel="0" collapsed="false">
      <c r="A8" s="64" t="n">
        <v>3</v>
      </c>
      <c r="B8" s="65" t="n">
        <v>4</v>
      </c>
      <c r="C8" s="66" t="n">
        <v>7.36066</v>
      </c>
      <c r="D8" s="60" t="n">
        <f aca="false">(2*Params*InputTokens*B8 + 2*Nq*HeadDim*InputTokens^2*B8*FullAttnLayers + CConst*VHeads*DHeadDim^2*InputTokens*B8*DeltaNetLayers)/1000000000000</f>
        <v>1880.86211103949</v>
      </c>
      <c r="E8" s="60" t="n">
        <f aca="false">D8/TP</f>
        <v>470.215527759872</v>
      </c>
      <c r="F8" s="67" t="n">
        <f aca="false">E8/C8</f>
        <v>63.8822507438018</v>
      </c>
      <c r="G8" s="61" t="n">
        <f aca="false">F8/PeakTFLOPS</f>
        <v>0.348132156641972</v>
      </c>
      <c r="H8" s="60" t="n">
        <f aca="false">(E8/(PeakTFLOPS*EffComputeMFU) + (CollPerLayer*TotalLayers)*(2*(TP-1)/TP*(B8*InputTokens*HiddenComm*ActBytes/1000000000)/(LinkBW*CommEff) + 2*(TP-1)*LinkLat/1000000))*(1+OverheadPct)</f>
        <v>7.73603369932956</v>
      </c>
      <c r="I8" s="61" t="n">
        <f aca="false">(H8-C8)/C8</f>
        <v>0.050997288195564</v>
      </c>
    </row>
    <row r="9" customFormat="false" ht="15" hidden="false" customHeight="false" outlineLevel="0" collapsed="false">
      <c r="A9" s="64" t="n">
        <v>4</v>
      </c>
      <c r="B9" s="65" t="n">
        <v>8</v>
      </c>
      <c r="C9" s="66" t="n">
        <v>15.48305</v>
      </c>
      <c r="D9" s="60" t="n">
        <f aca="false">(2*Params*InputTokens*B9 + 2*Nq*HeadDim*InputTokens^2*B9*FullAttnLayers + CConst*VHeads*DHeadDim^2*InputTokens*B9*DeltaNetLayers)/1000000000000</f>
        <v>3761.72422207898</v>
      </c>
      <c r="E9" s="60" t="n">
        <f aca="false">D9/TP</f>
        <v>940.431055519744</v>
      </c>
      <c r="F9" s="67" t="n">
        <f aca="false">E9/C9</f>
        <v>60.739392788872</v>
      </c>
      <c r="G9" s="61" t="n">
        <f aca="false">F9/PeakTFLOPS</f>
        <v>0.331004865334452</v>
      </c>
      <c r="H9" s="60" t="n">
        <f aca="false">(E9/(PeakTFLOPS*EffComputeMFU) + (CollPerLayer*TotalLayers)*(2*(TP-1)/TP*(B9*InputTokens*HiddenComm*ActBytes/1000000000)/(LinkBW*CommEff) + 2*(TP-1)*LinkLat/1000000))*(1+OverheadPct)</f>
        <v>15.4686267586591</v>
      </c>
      <c r="I9" s="61" t="n">
        <f aca="false">(H9-C9)/C9</f>
        <v>-0.000931550394843309</v>
      </c>
    </row>
    <row r="10" customFormat="false" ht="15" hidden="false" customHeight="false" outlineLevel="0" collapsed="false">
      <c r="A10" s="64" t="n">
        <v>5</v>
      </c>
      <c r="B10" s="65" t="n">
        <v>16</v>
      </c>
      <c r="C10" s="66" t="n">
        <v>29.4712</v>
      </c>
      <c r="D10" s="60" t="n">
        <f aca="false">(2*Params*InputTokens*B10 + 2*Nq*HeadDim*InputTokens^2*B10*FullAttnLayers + CConst*VHeads*DHeadDim^2*InputTokens*B10*DeltaNetLayers)/1000000000000</f>
        <v>7523.44844415795</v>
      </c>
      <c r="E10" s="60" t="n">
        <f aca="false">D10/TP</f>
        <v>1880.86211103949</v>
      </c>
      <c r="F10" s="67" t="n">
        <f aca="false">E10/C10</f>
        <v>63.8203436249453</v>
      </c>
      <c r="G10" s="61" t="n">
        <f aca="false">F10/PeakTFLOPS</f>
        <v>0.347794788146841</v>
      </c>
      <c r="H10" s="60" t="n">
        <f aca="false">(E10/(PeakTFLOPS*EffComputeMFU) + (CollPerLayer*TotalLayers)*(2*(TP-1)/TP*(B10*InputTokens*HiddenComm*ActBytes/1000000000)/(LinkBW*CommEff) + 2*(TP-1)*LinkLat/1000000))*(1+OverheadPct)</f>
        <v>30.9338128773182</v>
      </c>
      <c r="I10" s="61" t="n">
        <f aca="false">(H10-C10)/C10</f>
        <v>0.0496285484580961</v>
      </c>
    </row>
    <row r="11" customFormat="false" ht="15" hidden="false" customHeight="false" outlineLevel="0" collapsed="false">
      <c r="A11" s="64" t="n">
        <v>6</v>
      </c>
      <c r="B11" s="65" t="n">
        <v>32</v>
      </c>
      <c r="C11" s="66" t="n">
        <v>56.99582</v>
      </c>
      <c r="D11" s="60" t="n">
        <f aca="false">(2*Params*InputTokens*B11 + 2*Nq*HeadDim*InputTokens^2*B11*FullAttnLayers + CConst*VHeads*DHeadDim^2*InputTokens*B11*DeltaNetLayers)/1000000000000</f>
        <v>15046.8968883159</v>
      </c>
      <c r="E11" s="60" t="n">
        <f aca="false">D11/TP</f>
        <v>3761.72422207898</v>
      </c>
      <c r="F11" s="67" t="n">
        <f aca="false">E11/C11</f>
        <v>66.0000017909906</v>
      </c>
      <c r="G11" s="61" t="n">
        <f aca="false">F11/PeakTFLOPS</f>
        <v>0.359673034283327</v>
      </c>
      <c r="H11" s="60" t="n">
        <f aca="false">(E11/(PeakTFLOPS*EffComputeMFU) + (CollPerLayer*TotalLayers)*(2*(TP-1)/TP*(B11*InputTokens*HiddenComm*ActBytes/1000000000)/(LinkBW*CommEff) + 2*(TP-1)*LinkLat/1000000))*(1+OverheadPct)</f>
        <v>61.8641851146365</v>
      </c>
      <c r="I11" s="61" t="n">
        <f aca="false">(H11-C11)/C11</f>
        <v>0.0854161781449321</v>
      </c>
    </row>
    <row r="13" customFormat="false" ht="15" hidden="false" customHeight="false" outlineLevel="0" collapsed="false">
      <c r="B13" s="68" t="s">
        <v>368</v>
      </c>
      <c r="G13" s="69" t="n">
        <f aca="false">AVERAGE(G6:G11)</f>
        <v>0.340563827702151</v>
      </c>
      <c r="H13" s="68" t="s">
        <v>369</v>
      </c>
      <c r="I13" s="69" t="n">
        <f aca="false">SUMPRODUCT(ABS(H6:H11-C6:C11)/C6:C11)/6</f>
        <v>0.0436756870848189</v>
      </c>
    </row>
    <row r="15" customFormat="false" ht="15" hidden="false" customHeight="true" outlineLevel="0" collapsed="false">
      <c r="A15" s="17" t="s">
        <v>370</v>
      </c>
      <c r="B15" s="17"/>
      <c r="C15" s="17"/>
      <c r="D15" s="17"/>
      <c r="E15" s="17"/>
      <c r="F15" s="17"/>
      <c r="G15" s="17"/>
      <c r="H15" s="17"/>
      <c r="I15" s="17"/>
    </row>
    <row r="16" customFormat="false" ht="15" hidden="false" customHeight="false" outlineLevel="0" collapsed="false">
      <c r="B16" s="70" t="s">
        <v>371</v>
      </c>
      <c r="C16" s="71"/>
      <c r="D16" s="71"/>
      <c r="E16" s="71"/>
      <c r="F16" s="72" t="n">
        <f aca="false">'Prefill TP'!E12</f>
        <v>11.4396537504835</v>
      </c>
      <c r="G16" s="30" t="s">
        <v>372</v>
      </c>
      <c r="H16" s="30"/>
      <c r="I16" s="30"/>
    </row>
    <row r="17" customFormat="false" ht="15" hidden="false" customHeight="false" outlineLevel="0" collapsed="false">
      <c r="B17" s="70" t="s">
        <v>373</v>
      </c>
      <c r="C17" s="71"/>
      <c r="D17" s="71"/>
      <c r="E17" s="71"/>
      <c r="F17" s="72" t="n">
        <f aca="false">'Prefill TP'!E20</f>
        <v>2.37162014117647</v>
      </c>
      <c r="G17" s="30" t="s">
        <v>374</v>
      </c>
      <c r="H17" s="30"/>
      <c r="I17" s="30"/>
    </row>
    <row r="18" customFormat="false" ht="15" hidden="false" customHeight="false" outlineLevel="0" collapsed="false">
      <c r="B18" s="73" t="s">
        <v>375</v>
      </c>
      <c r="C18" s="71"/>
      <c r="D18" s="71"/>
      <c r="E18" s="71"/>
      <c r="F18" s="72" t="n">
        <f aca="false">'Prefill TP'!E12+'Prefill TP'!E20</f>
        <v>13.8112738916599</v>
      </c>
      <c r="G18" s="30" t="s">
        <v>376</v>
      </c>
      <c r="H18" s="30"/>
      <c r="I18" s="30"/>
    </row>
    <row r="19" customFormat="false" ht="15" hidden="false" customHeight="false" outlineLevel="0" collapsed="false">
      <c r="B19" s="70" t="s">
        <v>377</v>
      </c>
      <c r="C19" s="71"/>
      <c r="D19" s="71"/>
      <c r="E19" s="71"/>
      <c r="F19" s="72" t="n">
        <f aca="false">('Prefill TP'!E12+'Prefill TP'!E20)*OverheadPct</f>
        <v>1.65735286699919</v>
      </c>
      <c r="G19" s="30" t="s">
        <v>378</v>
      </c>
      <c r="H19" s="30"/>
      <c r="I19" s="30"/>
    </row>
    <row r="20" customFormat="false" ht="15" hidden="false" customHeight="false" outlineLevel="0" collapsed="false">
      <c r="B20" s="74" t="s">
        <v>379</v>
      </c>
      <c r="C20" s="75"/>
      <c r="D20" s="75"/>
      <c r="E20" s="75"/>
      <c r="F20" s="76" t="n">
        <f aca="false">'Prefill TP'!E24</f>
        <v>15.4686267586591</v>
      </c>
      <c r="G20" s="77" t="s">
        <v>380</v>
      </c>
      <c r="H20" s="77"/>
      <c r="I20" s="77"/>
    </row>
    <row r="22" customFormat="false" ht="15" hidden="false" customHeight="true" outlineLevel="0" collapsed="false">
      <c r="A22" s="17" t="s">
        <v>381</v>
      </c>
      <c r="B22" s="17"/>
      <c r="C22" s="17"/>
      <c r="D22" s="17"/>
      <c r="E22" s="17"/>
      <c r="F22" s="17"/>
      <c r="G22" s="17"/>
      <c r="H22" s="17"/>
      <c r="I22" s="17"/>
    </row>
    <row r="23" customFormat="false" ht="129.75" hidden="false" customHeight="true" outlineLevel="0" collapsed="false">
      <c r="A23" s="63" t="s">
        <v>382</v>
      </c>
      <c r="B23" s="63"/>
      <c r="C23" s="63"/>
      <c r="D23" s="63"/>
      <c r="E23" s="63"/>
      <c r="F23" s="63"/>
      <c r="G23" s="63"/>
      <c r="H23" s="63"/>
      <c r="I23" s="63"/>
    </row>
  </sheetData>
  <mergeCells count="11">
    <mergeCell ref="A1:I1"/>
    <mergeCell ref="A2:I2"/>
    <mergeCell ref="A4:I4"/>
    <mergeCell ref="A15:I15"/>
    <mergeCell ref="G16:I16"/>
    <mergeCell ref="G17:I17"/>
    <mergeCell ref="G18:I18"/>
    <mergeCell ref="G19:I19"/>
    <mergeCell ref="G20:I20"/>
    <mergeCell ref="A22:I22"/>
    <mergeCell ref="A23:I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3" min="3" style="1" width="32"/>
    <col collapsed="false" customWidth="true" hidden="false" outlineLevel="0" max="4" min="4" style="1" width="52"/>
    <col collapsed="false" customWidth="true" hidden="false" outlineLevel="0" max="5" min="5" style="1" width="18"/>
    <col collapsed="false" customWidth="true" hidden="false" outlineLevel="0" max="6" min="6" style="1" width="12"/>
    <col collapsed="false" customWidth="true" hidden="false" outlineLevel="0" max="7" min="7" style="1" width="46"/>
  </cols>
  <sheetData>
    <row r="1" customFormat="false" ht="21.75" hidden="false" customHeight="true" outlineLevel="0" collapsed="false">
      <c r="A1" s="2" t="s">
        <v>383</v>
      </c>
      <c r="B1" s="2"/>
      <c r="C1" s="2"/>
      <c r="D1" s="2"/>
      <c r="E1" s="2"/>
      <c r="F1" s="2"/>
      <c r="G1" s="2"/>
    </row>
    <row r="2" customFormat="false" ht="15.75" hidden="false" customHeight="true" outlineLevel="0" collapsed="false">
      <c r="A2" s="3" t="s">
        <v>384</v>
      </c>
      <c r="B2" s="3"/>
      <c r="C2" s="3"/>
      <c r="D2" s="3"/>
      <c r="E2" s="3"/>
      <c r="F2" s="3"/>
      <c r="G2" s="3"/>
    </row>
    <row r="4" customFormat="false" ht="15" hidden="false" customHeight="true" outlineLevel="0" collapsed="false">
      <c r="A4" s="4" t="s">
        <v>210</v>
      </c>
      <c r="B4" s="4" t="s">
        <v>211</v>
      </c>
      <c r="C4" s="4" t="s">
        <v>212</v>
      </c>
      <c r="D4" s="4" t="s">
        <v>213</v>
      </c>
      <c r="E4" s="4" t="s">
        <v>86</v>
      </c>
      <c r="F4" s="4" t="s">
        <v>87</v>
      </c>
      <c r="G4" s="4" t="s">
        <v>214</v>
      </c>
    </row>
    <row r="5" customFormat="false" ht="31.5" hidden="false" customHeight="true" outlineLevel="0" collapsed="false">
      <c r="A5" s="33" t="n">
        <v>1</v>
      </c>
      <c r="B5" s="34" t="s">
        <v>385</v>
      </c>
      <c r="C5" s="20" t="s">
        <v>386</v>
      </c>
      <c r="D5" s="35" t="s">
        <v>387</v>
      </c>
      <c r="E5" s="36" t="n">
        <f aca="false">2*Params*Concurrency/1000000000000</f>
        <v>0.4448</v>
      </c>
      <c r="F5" s="20" t="s">
        <v>255</v>
      </c>
      <c r="G5" s="20"/>
    </row>
    <row r="6" customFormat="false" ht="31.5" hidden="false" customHeight="true" outlineLevel="0" collapsed="false">
      <c r="A6" s="33" t="n">
        <v>2</v>
      </c>
      <c r="B6" s="34" t="s">
        <v>388</v>
      </c>
      <c r="C6" s="20" t="s">
        <v>389</v>
      </c>
      <c r="D6" s="35" t="s">
        <v>390</v>
      </c>
      <c r="E6" s="36" t="n">
        <f aca="false">2*Nq*HeadDim*DecodeContextLen*Concurrency*FullAttnLayers/1000000000000</f>
        <v>0.012886474752</v>
      </c>
      <c r="F6" s="20" t="s">
        <v>255</v>
      </c>
      <c r="G6" s="20" t="s">
        <v>391</v>
      </c>
    </row>
    <row r="7" customFormat="false" ht="31.5" hidden="false" customHeight="true" outlineLevel="0" collapsed="false">
      <c r="A7" s="33" t="n">
        <v>3</v>
      </c>
      <c r="B7" s="34" t="s">
        <v>392</v>
      </c>
      <c r="C7" s="20" t="s">
        <v>393</v>
      </c>
      <c r="D7" s="35" t="s">
        <v>394</v>
      </c>
      <c r="E7" s="36" t="n">
        <f aca="false">CConst*VHeads*DHeadDim^2*Concurrency*DeltaNetLayers/1000000000000</f>
        <v>0.00150994944</v>
      </c>
      <c r="F7" s="20" t="s">
        <v>255</v>
      </c>
      <c r="G7" s="20" t="s">
        <v>395</v>
      </c>
    </row>
    <row r="8" customFormat="false" ht="31.5" hidden="false" customHeight="true" outlineLevel="0" collapsed="false">
      <c r="A8" s="37" t="n">
        <v>4</v>
      </c>
      <c r="B8" s="38" t="s">
        <v>396</v>
      </c>
      <c r="C8" s="39" t="s">
        <v>228</v>
      </c>
      <c r="D8" s="40" t="s">
        <v>229</v>
      </c>
      <c r="E8" s="41" t="n">
        <f aca="false">E5+E6+E7</f>
        <v>0.459196424192</v>
      </c>
      <c r="F8" s="39" t="s">
        <v>255</v>
      </c>
      <c r="G8" s="39"/>
    </row>
    <row r="9" customFormat="false" ht="31.5" hidden="false" customHeight="true" outlineLevel="0" collapsed="false">
      <c r="A9" s="33" t="n">
        <v>5</v>
      </c>
      <c r="B9" s="34" t="s">
        <v>397</v>
      </c>
      <c r="C9" s="20" t="s">
        <v>398</v>
      </c>
      <c r="D9" s="35" t="s">
        <v>268</v>
      </c>
      <c r="E9" s="47" t="n">
        <f aca="false">E8/(PeakTFLOPS*Efficiency)</f>
        <v>0.00357490404197742</v>
      </c>
      <c r="F9" s="20" t="s">
        <v>269</v>
      </c>
      <c r="G9" s="20"/>
    </row>
    <row r="10" customFormat="false" ht="31.5" hidden="false" customHeight="true" outlineLevel="0" collapsed="false">
      <c r="A10" s="33" t="n">
        <v>6</v>
      </c>
      <c r="B10" s="34" t="s">
        <v>399</v>
      </c>
      <c r="C10" s="20" t="s">
        <v>400</v>
      </c>
      <c r="D10" s="35" t="s">
        <v>273</v>
      </c>
      <c r="E10" s="48" t="n">
        <f aca="false">E8/E9</f>
        <v>128.45</v>
      </c>
      <c r="F10" s="20" t="s">
        <v>118</v>
      </c>
      <c r="G10" s="20" t="s">
        <v>401</v>
      </c>
    </row>
    <row r="12" customFormat="false" ht="15" hidden="false" customHeight="true" outlineLevel="0" collapsed="false">
      <c r="A12" s="17" t="s">
        <v>402</v>
      </c>
      <c r="B12" s="17"/>
      <c r="C12" s="17"/>
      <c r="D12" s="17"/>
      <c r="E12" s="17"/>
      <c r="F12" s="17"/>
      <c r="G12" s="17"/>
    </row>
    <row r="13" customFormat="false" ht="55.5" hidden="false" customHeight="true" outlineLevel="0" collapsed="false">
      <c r="A13" s="3" t="s">
        <v>403</v>
      </c>
      <c r="B13" s="3"/>
      <c r="C13" s="3"/>
      <c r="D13" s="3"/>
      <c r="E13" s="3"/>
      <c r="F13" s="3"/>
      <c r="G13" s="3"/>
    </row>
  </sheetData>
  <mergeCells count="4">
    <mergeCell ref="A1:G1"/>
    <mergeCell ref="A2:G2"/>
    <mergeCell ref="A12:G12"/>
    <mergeCell ref="A13:G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E28" activeCellId="0" sqref="E28"/>
    </sheetView>
  </sheetViews>
  <sheetFormatPr defaultColWidth="8.714843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34"/>
    <col collapsed="false" customWidth="true" hidden="false" outlineLevel="0" max="4" min="4" style="1" width="52"/>
    <col collapsed="false" customWidth="true" hidden="false" outlineLevel="0" max="5" min="5" style="1" width="18"/>
    <col collapsed="false" customWidth="true" hidden="false" outlineLevel="0" max="6" min="6" style="1" width="13"/>
    <col collapsed="false" customWidth="true" hidden="false" outlineLevel="0" max="7" min="7" style="1" width="46"/>
  </cols>
  <sheetData>
    <row r="1" customFormat="false" ht="21.75" hidden="false" customHeight="true" outlineLevel="0" collapsed="false">
      <c r="A1" s="2" t="s">
        <v>404</v>
      </c>
      <c r="B1" s="2"/>
      <c r="C1" s="2"/>
      <c r="D1" s="2"/>
      <c r="E1" s="2"/>
      <c r="F1" s="2"/>
      <c r="G1" s="2"/>
    </row>
    <row r="2" customFormat="false" ht="15.75" hidden="false" customHeight="true" outlineLevel="0" collapsed="false">
      <c r="A2" s="3" t="s">
        <v>405</v>
      </c>
      <c r="B2" s="3"/>
      <c r="C2" s="3"/>
      <c r="D2" s="3"/>
      <c r="E2" s="3"/>
      <c r="F2" s="3"/>
      <c r="G2" s="3"/>
    </row>
    <row r="4" customFormat="false" ht="15" hidden="false" customHeight="true" outlineLevel="0" collapsed="false">
      <c r="A4" s="17" t="s">
        <v>406</v>
      </c>
      <c r="B4" s="17"/>
      <c r="C4" s="17"/>
      <c r="D4" s="17"/>
      <c r="E4" s="17"/>
      <c r="F4" s="17"/>
      <c r="G4" s="17"/>
    </row>
    <row r="5" customFormat="false" ht="15" hidden="false" customHeight="true" outlineLevel="0" collapsed="false">
      <c r="A5" s="4" t="s">
        <v>210</v>
      </c>
      <c r="B5" s="4" t="s">
        <v>211</v>
      </c>
      <c r="C5" s="4" t="s">
        <v>212</v>
      </c>
      <c r="D5" s="4" t="s">
        <v>213</v>
      </c>
      <c r="E5" s="4" t="s">
        <v>86</v>
      </c>
      <c r="F5" s="4" t="s">
        <v>87</v>
      </c>
      <c r="G5" s="4" t="s">
        <v>214</v>
      </c>
    </row>
    <row r="6" customFormat="false" ht="30" hidden="false" customHeight="true" outlineLevel="0" collapsed="false">
      <c r="A6" s="33" t="s">
        <v>280</v>
      </c>
      <c r="B6" s="34" t="s">
        <v>407</v>
      </c>
      <c r="C6" s="20" t="s">
        <v>408</v>
      </c>
      <c r="D6" s="35" t="s">
        <v>409</v>
      </c>
      <c r="E6" s="78" t="n">
        <f aca="false">'Decode BW'!E8</f>
        <v>60.49947136</v>
      </c>
      <c r="F6" s="20" t="s">
        <v>124</v>
      </c>
      <c r="G6" s="20" t="s">
        <v>410</v>
      </c>
    </row>
    <row r="7" customFormat="false" ht="30" hidden="false" customHeight="true" outlineLevel="0" collapsed="false">
      <c r="A7" s="33" t="s">
        <v>285</v>
      </c>
      <c r="B7" s="34" t="s">
        <v>411</v>
      </c>
      <c r="C7" s="20" t="s">
        <v>412</v>
      </c>
      <c r="D7" s="35" t="s">
        <v>413</v>
      </c>
      <c r="E7" s="48" t="n">
        <f aca="false">BandwidthGBs*IntraTP</f>
        <v>4864</v>
      </c>
      <c r="F7" s="20" t="s">
        <v>121</v>
      </c>
      <c r="G7" s="20" t="s">
        <v>414</v>
      </c>
    </row>
    <row r="8" customFormat="false" ht="30" hidden="false" customHeight="true" outlineLevel="0" collapsed="false">
      <c r="A8" s="37" t="s">
        <v>415</v>
      </c>
      <c r="B8" s="38" t="s">
        <v>416</v>
      </c>
      <c r="C8" s="39" t="s">
        <v>417</v>
      </c>
      <c r="D8" s="40" t="s">
        <v>418</v>
      </c>
      <c r="E8" s="79" t="n">
        <f aca="false">E6/E7*1000</f>
        <v>12.4382136842105</v>
      </c>
      <c r="F8" s="39" t="s">
        <v>419</v>
      </c>
      <c r="G8" s="39" t="s">
        <v>420</v>
      </c>
    </row>
    <row r="10" customFormat="false" ht="15" hidden="false" customHeight="true" outlineLevel="0" collapsed="false">
      <c r="A10" s="17" t="s">
        <v>421</v>
      </c>
      <c r="B10" s="17"/>
      <c r="C10" s="17"/>
      <c r="D10" s="17"/>
      <c r="E10" s="17"/>
      <c r="F10" s="17"/>
      <c r="G10" s="17"/>
    </row>
    <row r="11" customFormat="false" ht="15" hidden="false" customHeight="true" outlineLevel="0" collapsed="false">
      <c r="A11" s="4" t="s">
        <v>210</v>
      </c>
      <c r="B11" s="4" t="s">
        <v>211</v>
      </c>
      <c r="C11" s="4" t="s">
        <v>212</v>
      </c>
      <c r="D11" s="4" t="s">
        <v>213</v>
      </c>
      <c r="E11" s="4" t="s">
        <v>86</v>
      </c>
      <c r="F11" s="4" t="s">
        <v>87</v>
      </c>
      <c r="G11" s="4" t="s">
        <v>214</v>
      </c>
    </row>
    <row r="12" customFormat="false" ht="30" hidden="false" customHeight="true" outlineLevel="0" collapsed="false">
      <c r="A12" s="33" t="s">
        <v>290</v>
      </c>
      <c r="B12" s="34" t="s">
        <v>422</v>
      </c>
      <c r="C12" s="20" t="s">
        <v>423</v>
      </c>
      <c r="D12" s="35" t="s">
        <v>424</v>
      </c>
      <c r="E12" s="80" t="n">
        <f aca="false">Concurrency*HiddenComm*ActBytes/1000000000</f>
        <v>8.192E-005</v>
      </c>
      <c r="F12" s="20" t="s">
        <v>124</v>
      </c>
      <c r="G12" s="20" t="s">
        <v>425</v>
      </c>
    </row>
    <row r="13" customFormat="false" ht="30" hidden="false" customHeight="true" outlineLevel="0" collapsed="false">
      <c r="A13" s="33" t="s">
        <v>296</v>
      </c>
      <c r="B13" s="34" t="s">
        <v>426</v>
      </c>
      <c r="C13" s="20" t="s">
        <v>427</v>
      </c>
      <c r="D13" s="35" t="s">
        <v>310</v>
      </c>
      <c r="E13" s="81" t="n">
        <f aca="false">CollPerLayer*TotalLayers</f>
        <v>128</v>
      </c>
      <c r="F13" s="20" t="s">
        <v>428</v>
      </c>
      <c r="G13" s="20" t="s">
        <v>429</v>
      </c>
    </row>
    <row r="14" customFormat="false" ht="30" hidden="false" customHeight="true" outlineLevel="0" collapsed="false">
      <c r="A14" s="33" t="s">
        <v>430</v>
      </c>
      <c r="B14" s="34" t="s">
        <v>431</v>
      </c>
      <c r="C14" s="20" t="s">
        <v>432</v>
      </c>
      <c r="D14" s="35" t="s">
        <v>433</v>
      </c>
      <c r="E14" s="81" t="n">
        <f aca="false">IntraTP*Nodes</f>
        <v>16</v>
      </c>
      <c r="F14" s="20" t="s">
        <v>163</v>
      </c>
      <c r="G14" s="20" t="s">
        <v>434</v>
      </c>
    </row>
    <row r="15" customFormat="false" ht="30" hidden="false" customHeight="true" outlineLevel="0" collapsed="false">
      <c r="A15" s="33" t="s">
        <v>435</v>
      </c>
      <c r="B15" s="34" t="s">
        <v>436</v>
      </c>
      <c r="C15" s="20" t="s">
        <v>437</v>
      </c>
      <c r="D15" s="35" t="s">
        <v>438</v>
      </c>
      <c r="E15" s="81" t="n">
        <f aca="false">E13*(2*(E14-1)/E14*E12/InterBW + 2*(E14-1)*InterLat/1000000)*1000</f>
        <v>23.433216</v>
      </c>
      <c r="F15" s="20" t="s">
        <v>419</v>
      </c>
      <c r="G15" s="20" t="s">
        <v>439</v>
      </c>
    </row>
    <row r="16" customFormat="false" ht="30" hidden="false" customHeight="true" outlineLevel="0" collapsed="false">
      <c r="A16" s="37" t="s">
        <v>440</v>
      </c>
      <c r="B16" s="38" t="s">
        <v>441</v>
      </c>
      <c r="C16" s="39" t="s">
        <v>442</v>
      </c>
      <c r="D16" s="40" t="s">
        <v>443</v>
      </c>
      <c r="E16" s="79" t="n">
        <f aca="false">E8+E15</f>
        <v>35.8714296842105</v>
      </c>
      <c r="F16" s="39" t="s">
        <v>419</v>
      </c>
      <c r="G16" s="39" t="s">
        <v>444</v>
      </c>
    </row>
    <row r="18" customFormat="false" ht="15" hidden="false" customHeight="true" outlineLevel="0" collapsed="false">
      <c r="A18" s="17" t="s">
        <v>445</v>
      </c>
      <c r="B18" s="17"/>
      <c r="C18" s="17"/>
      <c r="D18" s="17"/>
      <c r="E18" s="17"/>
      <c r="F18" s="17"/>
      <c r="G18" s="17"/>
    </row>
    <row r="19" customFormat="false" ht="15" hidden="false" customHeight="true" outlineLevel="0" collapsed="false">
      <c r="A19" s="4" t="s">
        <v>210</v>
      </c>
      <c r="B19" s="4" t="s">
        <v>211</v>
      </c>
      <c r="C19" s="4" t="s">
        <v>212</v>
      </c>
      <c r="D19" s="4" t="s">
        <v>213</v>
      </c>
      <c r="E19" s="4" t="s">
        <v>86</v>
      </c>
      <c r="F19" s="4" t="s">
        <v>87</v>
      </c>
      <c r="G19" s="4" t="s">
        <v>214</v>
      </c>
    </row>
    <row r="20" customFormat="false" ht="30" hidden="false" customHeight="true" outlineLevel="0" collapsed="false">
      <c r="A20" s="33" t="s">
        <v>302</v>
      </c>
      <c r="B20" s="34" t="s">
        <v>446</v>
      </c>
      <c r="C20" s="20" t="s">
        <v>447</v>
      </c>
      <c r="D20" s="35" t="s">
        <v>448</v>
      </c>
      <c r="E20" s="81" t="n">
        <f aca="false">PPStages-1</f>
        <v>1</v>
      </c>
      <c r="F20" s="20" t="s">
        <v>449</v>
      </c>
      <c r="G20" s="20" t="s">
        <v>450</v>
      </c>
    </row>
    <row r="21" customFormat="false" ht="30" hidden="false" customHeight="true" outlineLevel="0" collapsed="false">
      <c r="A21" s="33" t="s">
        <v>307</v>
      </c>
      <c r="B21" s="34" t="s">
        <v>451</v>
      </c>
      <c r="C21" s="20" t="s">
        <v>452</v>
      </c>
      <c r="D21" s="35" t="s">
        <v>453</v>
      </c>
      <c r="E21" s="81" t="n">
        <f aca="false">E20*(E12/InterBW + InterLat/1000000)*1000</f>
        <v>0.0076384</v>
      </c>
      <c r="F21" s="20" t="s">
        <v>419</v>
      </c>
      <c r="G21" s="20" t="s">
        <v>454</v>
      </c>
    </row>
    <row r="22" customFormat="false" ht="30" hidden="false" customHeight="true" outlineLevel="0" collapsed="false">
      <c r="A22" s="33" t="s">
        <v>312</v>
      </c>
      <c r="B22" s="34" t="s">
        <v>455</v>
      </c>
      <c r="C22" s="20" t="s">
        <v>456</v>
      </c>
      <c r="D22" s="35" t="s">
        <v>457</v>
      </c>
      <c r="E22" s="52" t="n">
        <f aca="false">(PPStages-1)/PPMicro</f>
        <v>0.125</v>
      </c>
      <c r="F22" s="20" t="s">
        <v>104</v>
      </c>
      <c r="G22" s="20" t="s">
        <v>458</v>
      </c>
    </row>
    <row r="23" customFormat="false" ht="30" hidden="false" customHeight="true" outlineLevel="0" collapsed="false">
      <c r="A23" s="37" t="s">
        <v>317</v>
      </c>
      <c r="B23" s="38" t="s">
        <v>459</v>
      </c>
      <c r="C23" s="39" t="s">
        <v>460</v>
      </c>
      <c r="D23" s="40" t="s">
        <v>461</v>
      </c>
      <c r="E23" s="79" t="n">
        <f aca="false">E8*(1+E22)+E21</f>
        <v>14.0006287947368</v>
      </c>
      <c r="F23" s="39" t="s">
        <v>419</v>
      </c>
      <c r="G23" s="39" t="s">
        <v>462</v>
      </c>
    </row>
    <row r="25" customFormat="false" ht="15" hidden="false" customHeight="true" outlineLevel="0" collapsed="false">
      <c r="A25" s="17" t="s">
        <v>463</v>
      </c>
      <c r="B25" s="17"/>
      <c r="C25" s="17"/>
      <c r="D25" s="17"/>
      <c r="E25" s="17"/>
      <c r="F25" s="17"/>
      <c r="G25" s="17"/>
    </row>
    <row r="26" customFormat="false" ht="15" hidden="false" customHeight="true" outlineLevel="0" collapsed="false">
      <c r="A26" s="4" t="s">
        <v>210</v>
      </c>
      <c r="B26" s="4" t="s">
        <v>211</v>
      </c>
      <c r="C26" s="4" t="s">
        <v>212</v>
      </c>
      <c r="D26" s="4" t="s">
        <v>213</v>
      </c>
      <c r="E26" s="4" t="s">
        <v>86</v>
      </c>
      <c r="F26" s="4" t="s">
        <v>87</v>
      </c>
      <c r="G26" s="4" t="s">
        <v>214</v>
      </c>
    </row>
    <row r="27" customFormat="false" ht="30" hidden="false" customHeight="true" outlineLevel="0" collapsed="false">
      <c r="A27" s="33" t="s">
        <v>328</v>
      </c>
      <c r="B27" s="34" t="s">
        <v>464</v>
      </c>
      <c r="C27" s="20" t="s">
        <v>465</v>
      </c>
      <c r="D27" s="35" t="s">
        <v>466</v>
      </c>
      <c r="E27" s="81" t="n">
        <v>2</v>
      </c>
      <c r="F27" s="20" t="s">
        <v>467</v>
      </c>
      <c r="G27" s="20" t="s">
        <v>468</v>
      </c>
    </row>
    <row r="28" customFormat="false" ht="30" hidden="false" customHeight="true" outlineLevel="0" collapsed="false">
      <c r="A28" s="37" t="s">
        <v>333</v>
      </c>
      <c r="B28" s="38" t="s">
        <v>469</v>
      </c>
      <c r="C28" s="39" t="s">
        <v>470</v>
      </c>
      <c r="D28" s="40" t="s">
        <v>471</v>
      </c>
      <c r="E28" s="79" t="n">
        <f aca="false">E8</f>
        <v>12.4382136842105</v>
      </c>
      <c r="F28" s="39" t="s">
        <v>419</v>
      </c>
      <c r="G28" s="39" t="s">
        <v>472</v>
      </c>
    </row>
    <row r="29" customFormat="false" ht="30" hidden="false" customHeight="true" outlineLevel="0" collapsed="false">
      <c r="A29" s="33" t="s">
        <v>339</v>
      </c>
      <c r="B29" s="34" t="s">
        <v>473</v>
      </c>
      <c r="C29" s="20" t="s">
        <v>474</v>
      </c>
      <c r="D29" s="35" t="s">
        <v>475</v>
      </c>
      <c r="E29" s="48" t="n">
        <f aca="false">(Concurrency/(E28/1000))*E27</f>
        <v>1286.3583474459</v>
      </c>
      <c r="F29" s="20" t="s">
        <v>476</v>
      </c>
      <c r="G29" s="20" t="s">
        <v>477</v>
      </c>
    </row>
    <row r="31" customFormat="false" ht="15" hidden="false" customHeight="true" outlineLevel="0" collapsed="false">
      <c r="A31" s="17" t="s">
        <v>478</v>
      </c>
      <c r="B31" s="17"/>
      <c r="C31" s="17"/>
      <c r="D31" s="17"/>
      <c r="E31" s="17"/>
      <c r="F31" s="17"/>
      <c r="G31" s="17"/>
    </row>
    <row r="32" customFormat="false" ht="34.5" hidden="false" customHeight="true" outlineLevel="0" collapsed="false">
      <c r="A32" s="4" t="s">
        <v>479</v>
      </c>
      <c r="B32" s="4" t="s">
        <v>480</v>
      </c>
      <c r="C32" s="4" t="s">
        <v>481</v>
      </c>
      <c r="D32" s="4" t="s">
        <v>482</v>
      </c>
      <c r="E32" s="4" t="s">
        <v>483</v>
      </c>
      <c r="F32" s="4" t="s">
        <v>484</v>
      </c>
      <c r="G32" s="4"/>
    </row>
    <row r="33" customFormat="false" ht="33.75" hidden="false" customHeight="true" outlineLevel="0" collapsed="false">
      <c r="A33" s="82" t="s">
        <v>485</v>
      </c>
      <c r="B33" s="83" t="n">
        <f aca="false">E16</f>
        <v>35.8714296842105</v>
      </c>
      <c r="C33" s="84" t="n">
        <f aca="false">E16/E8</f>
        <v>2.88396956306892</v>
      </c>
      <c r="D33" s="83" t="n">
        <f aca="false">E13</f>
        <v>128</v>
      </c>
      <c r="E33" s="85" t="s">
        <v>486</v>
      </c>
      <c r="F33" s="85" t="s">
        <v>487</v>
      </c>
      <c r="G33" s="85"/>
    </row>
    <row r="34" customFormat="false" ht="33.75" hidden="false" customHeight="true" outlineLevel="0" collapsed="false">
      <c r="A34" s="18" t="s">
        <v>488</v>
      </c>
      <c r="B34" s="81" t="n">
        <f aca="false">E23</f>
        <v>14.0006287947368</v>
      </c>
      <c r="C34" s="86" t="n">
        <f aca="false">E23/E8</f>
        <v>1.12561410747507</v>
      </c>
      <c r="D34" s="81" t="n">
        <f aca="false">E20</f>
        <v>1</v>
      </c>
      <c r="E34" s="20" t="s">
        <v>489</v>
      </c>
      <c r="F34" s="20" t="s">
        <v>490</v>
      </c>
      <c r="G34" s="20"/>
    </row>
    <row r="35" customFormat="false" ht="33.75" hidden="false" customHeight="true" outlineLevel="0" collapsed="false">
      <c r="A35" s="87" t="s">
        <v>491</v>
      </c>
      <c r="B35" s="88" t="n">
        <f aca="false">E28</f>
        <v>12.4382136842105</v>
      </c>
      <c r="C35" s="89" t="n">
        <f aca="false">E28/E8</f>
        <v>1</v>
      </c>
      <c r="D35" s="90" t="n">
        <f aca="false">0</f>
        <v>0</v>
      </c>
      <c r="E35" s="91" t="s">
        <v>492</v>
      </c>
      <c r="F35" s="91" t="s">
        <v>493</v>
      </c>
      <c r="G35" s="91"/>
    </row>
    <row r="37" customFormat="false" ht="15" hidden="false" customHeight="true" outlineLevel="0" collapsed="false">
      <c r="A37" s="17" t="s">
        <v>494</v>
      </c>
      <c r="B37" s="17"/>
      <c r="C37" s="17"/>
      <c r="D37" s="17"/>
      <c r="E37" s="17"/>
      <c r="F37" s="17"/>
      <c r="G37" s="17"/>
    </row>
    <row r="38" customFormat="false" ht="165" hidden="false" customHeight="true" outlineLevel="0" collapsed="false">
      <c r="A38" s="3" t="s">
        <v>495</v>
      </c>
      <c r="B38" s="3"/>
      <c r="C38" s="3"/>
      <c r="D38" s="3"/>
      <c r="E38" s="3"/>
      <c r="F38" s="3"/>
      <c r="G38" s="3"/>
    </row>
  </sheetData>
  <mergeCells count="12">
    <mergeCell ref="A1:G1"/>
    <mergeCell ref="A2:G2"/>
    <mergeCell ref="A4:G4"/>
    <mergeCell ref="A10:G10"/>
    <mergeCell ref="A18:G18"/>
    <mergeCell ref="A25:G25"/>
    <mergeCell ref="A31:G31"/>
    <mergeCell ref="F33:G33"/>
    <mergeCell ref="F34:G34"/>
    <mergeCell ref="F35:G35"/>
    <mergeCell ref="A37:G37"/>
    <mergeCell ref="A38:G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9"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32"/>
    <col collapsed="false" customWidth="true" hidden="false" outlineLevel="0" max="4" min="4" style="1" width="52"/>
    <col collapsed="false" customWidth="true" hidden="false" outlineLevel="0" max="5" min="5" style="1" width="18"/>
    <col collapsed="false" customWidth="true" hidden="false" outlineLevel="0" max="6" min="6" style="1" width="12"/>
    <col collapsed="false" customWidth="true" hidden="false" outlineLevel="0" max="7" min="7" style="1" width="46"/>
  </cols>
  <sheetData>
    <row r="1" customFormat="false" ht="21.75" hidden="false" customHeight="true" outlineLevel="0" collapsed="false">
      <c r="A1" s="2" t="s">
        <v>496</v>
      </c>
      <c r="B1" s="2"/>
      <c r="C1" s="2"/>
      <c r="D1" s="2"/>
      <c r="E1" s="2"/>
      <c r="F1" s="2"/>
      <c r="G1" s="2"/>
    </row>
    <row r="2" customFormat="false" ht="15.75" hidden="false" customHeight="true" outlineLevel="0" collapsed="false">
      <c r="A2" s="3" t="s">
        <v>497</v>
      </c>
      <c r="B2" s="3"/>
      <c r="C2" s="3"/>
      <c r="D2" s="3"/>
      <c r="E2" s="3"/>
      <c r="F2" s="3"/>
      <c r="G2" s="3"/>
    </row>
    <row r="4" customFormat="false" ht="15" hidden="false" customHeight="true" outlineLevel="0" collapsed="false">
      <c r="A4" s="4" t="s">
        <v>210</v>
      </c>
      <c r="B4" s="4" t="s">
        <v>211</v>
      </c>
      <c r="C4" s="4" t="s">
        <v>212</v>
      </c>
      <c r="D4" s="4" t="s">
        <v>213</v>
      </c>
      <c r="E4" s="4" t="s">
        <v>86</v>
      </c>
      <c r="F4" s="4" t="s">
        <v>87</v>
      </c>
      <c r="G4" s="4" t="s">
        <v>214</v>
      </c>
    </row>
    <row r="5" customFormat="false" ht="31.5" hidden="false" customHeight="true" outlineLevel="0" collapsed="false">
      <c r="A5" s="33" t="n">
        <v>1</v>
      </c>
      <c r="B5" s="34" t="s">
        <v>498</v>
      </c>
      <c r="C5" s="20" t="s">
        <v>499</v>
      </c>
      <c r="D5" s="35" t="s">
        <v>217</v>
      </c>
      <c r="E5" s="36" t="n">
        <f aca="false">Params*WeightBytes/1000000000</f>
        <v>55.6</v>
      </c>
      <c r="F5" s="20" t="s">
        <v>500</v>
      </c>
      <c r="G5" s="20" t="s">
        <v>501</v>
      </c>
    </row>
    <row r="6" customFormat="false" ht="31.5" hidden="false" customHeight="true" outlineLevel="0" collapsed="false">
      <c r="A6" s="33" t="n">
        <v>2</v>
      </c>
      <c r="B6" s="34" t="s">
        <v>502</v>
      </c>
      <c r="C6" s="20" t="s">
        <v>503</v>
      </c>
      <c r="D6" s="35" t="s">
        <v>504</v>
      </c>
      <c r="E6" s="36" t="n">
        <f aca="false">2*KvHeads*HeadDim*KVBytes*FullAttnLayers*DecodeContextLen*Concurrency/1000000000</f>
        <v>4.295491584</v>
      </c>
      <c r="F6" s="20" t="s">
        <v>500</v>
      </c>
      <c r="G6" s="20" t="s">
        <v>505</v>
      </c>
    </row>
    <row r="7" customFormat="false" ht="31.5" hidden="false" customHeight="true" outlineLevel="0" collapsed="false">
      <c r="A7" s="33" t="n">
        <v>3</v>
      </c>
      <c r="B7" s="34" t="s">
        <v>506</v>
      </c>
      <c r="C7" s="20" t="s">
        <v>507</v>
      </c>
      <c r="D7" s="35" t="s">
        <v>508</v>
      </c>
      <c r="E7" s="36" t="n">
        <f aca="false">VHeads*DHeadDim^2*KVBytes*DeltaNetLayers*Concurrency/1000000000</f>
        <v>0.603979776</v>
      </c>
      <c r="F7" s="20" t="s">
        <v>500</v>
      </c>
      <c r="G7" s="20" t="s">
        <v>509</v>
      </c>
    </row>
    <row r="8" customFormat="false" ht="31.5" hidden="false" customHeight="true" outlineLevel="0" collapsed="false">
      <c r="A8" s="37" t="n">
        <v>4</v>
      </c>
      <c r="B8" s="38" t="s">
        <v>510</v>
      </c>
      <c r="C8" s="39" t="s">
        <v>228</v>
      </c>
      <c r="D8" s="40" t="s">
        <v>229</v>
      </c>
      <c r="E8" s="41" t="n">
        <f aca="false">E5+E6+E7</f>
        <v>60.49947136</v>
      </c>
      <c r="F8" s="39" t="s">
        <v>500</v>
      </c>
      <c r="G8" s="39"/>
    </row>
    <row r="9" customFormat="false" ht="31.5" hidden="false" customHeight="true" outlineLevel="0" collapsed="false">
      <c r="A9" s="33" t="n">
        <v>5</v>
      </c>
      <c r="B9" s="34" t="s">
        <v>511</v>
      </c>
      <c r="C9" s="20" t="s">
        <v>512</v>
      </c>
      <c r="D9" s="35" t="s">
        <v>513</v>
      </c>
      <c r="E9" s="92" t="n">
        <f aca="false">'Decode TFLOPs'!E8/E8</f>
        <v>0.00759008986143974</v>
      </c>
      <c r="F9" s="20" t="s">
        <v>514</v>
      </c>
      <c r="G9" s="20" t="s">
        <v>515</v>
      </c>
    </row>
    <row r="10" customFormat="false" ht="31.5" hidden="false" customHeight="true" outlineLevel="0" collapsed="false">
      <c r="A10" s="33" t="n">
        <v>6</v>
      </c>
      <c r="B10" s="34" t="s">
        <v>516</v>
      </c>
      <c r="C10" s="20" t="s">
        <v>517</v>
      </c>
      <c r="D10" s="35" t="s">
        <v>518</v>
      </c>
      <c r="E10" s="93" t="n">
        <f aca="false">PeakTFLOPS/BandwidthGBs</f>
        <v>0.301809210526316</v>
      </c>
      <c r="F10" s="20" t="s">
        <v>514</v>
      </c>
      <c r="G10" s="20" t="s">
        <v>519</v>
      </c>
    </row>
    <row r="11" customFormat="false" ht="31.5" hidden="false" customHeight="true" outlineLevel="0" collapsed="false">
      <c r="A11" s="53" t="n">
        <v>7</v>
      </c>
      <c r="B11" s="54" t="s">
        <v>345</v>
      </c>
      <c r="C11" s="55" t="s">
        <v>520</v>
      </c>
      <c r="D11" s="56" t="s">
        <v>521</v>
      </c>
      <c r="E11" s="57" t="str">
        <f aca="false">IF(E9&lt;E10,"Memory-bound","Compute-bound")</f>
        <v>Memory-bound</v>
      </c>
      <c r="F11" s="55" t="s">
        <v>109</v>
      </c>
      <c r="G11" s="55" t="s">
        <v>522</v>
      </c>
    </row>
    <row r="12" customFormat="false" ht="31.5" hidden="false" customHeight="true" outlineLevel="0" collapsed="false">
      <c r="A12" s="33" t="n">
        <v>8</v>
      </c>
      <c r="B12" s="34" t="s">
        <v>523</v>
      </c>
      <c r="C12" s="20" t="s">
        <v>524</v>
      </c>
      <c r="D12" s="35" t="s">
        <v>525</v>
      </c>
      <c r="E12" s="47" t="n">
        <f aca="false">E8/BandwidthGBs</f>
        <v>0.0995057094736842</v>
      </c>
      <c r="F12" s="20" t="s">
        <v>269</v>
      </c>
      <c r="G12" s="20"/>
    </row>
    <row r="13" customFormat="false" ht="31.5" hidden="false" customHeight="true" outlineLevel="0" collapsed="false">
      <c r="A13" s="33" t="n">
        <v>9</v>
      </c>
      <c r="B13" s="34" t="s">
        <v>526</v>
      </c>
      <c r="C13" s="20" t="s">
        <v>527</v>
      </c>
      <c r="D13" s="35" t="s">
        <v>528</v>
      </c>
      <c r="E13" s="94" t="n">
        <f aca="false">'Decode TFLOPs'!E9</f>
        <v>0.00357490404197742</v>
      </c>
      <c r="F13" s="20" t="s">
        <v>269</v>
      </c>
      <c r="G13" s="20" t="s">
        <v>529</v>
      </c>
    </row>
    <row r="14" customFormat="false" ht="31.5" hidden="false" customHeight="true" outlineLevel="0" collapsed="false">
      <c r="A14" s="37" t="n">
        <v>10</v>
      </c>
      <c r="B14" s="38" t="s">
        <v>530</v>
      </c>
      <c r="C14" s="39" t="s">
        <v>531</v>
      </c>
      <c r="D14" s="40" t="s">
        <v>532</v>
      </c>
      <c r="E14" s="95" t="n">
        <f aca="false">MAX(E12,E13)</f>
        <v>0.0995057094736842</v>
      </c>
      <c r="F14" s="39" t="s">
        <v>269</v>
      </c>
      <c r="G14" s="39"/>
    </row>
    <row r="15" customFormat="false" ht="31.5" hidden="false" customHeight="true" outlineLevel="0" collapsed="false">
      <c r="A15" s="37" t="n">
        <v>11</v>
      </c>
      <c r="B15" s="38" t="s">
        <v>533</v>
      </c>
      <c r="C15" s="39" t="s">
        <v>534</v>
      </c>
      <c r="D15" s="40" t="s">
        <v>535</v>
      </c>
      <c r="E15" s="96" t="n">
        <f aca="false">Concurrency/E14</f>
        <v>80.3973967153686</v>
      </c>
      <c r="F15" s="39" t="s">
        <v>536</v>
      </c>
      <c r="G15" s="39"/>
    </row>
    <row r="17" customFormat="false" ht="15" hidden="false" customHeight="true" outlineLevel="0" collapsed="false">
      <c r="A17" s="17" t="s">
        <v>537</v>
      </c>
      <c r="B17" s="17"/>
      <c r="C17" s="17"/>
      <c r="D17" s="17"/>
      <c r="E17" s="17"/>
      <c r="F17" s="17"/>
      <c r="G17" s="17"/>
    </row>
    <row r="18" customFormat="false" ht="84" hidden="false" customHeight="true" outlineLevel="0" collapsed="false">
      <c r="A18" s="3" t="s">
        <v>538</v>
      </c>
      <c r="B18" s="3"/>
      <c r="C18" s="3"/>
      <c r="D18" s="3"/>
      <c r="E18" s="3"/>
      <c r="F18" s="3"/>
      <c r="G18" s="3"/>
    </row>
  </sheetData>
  <mergeCells count="4">
    <mergeCell ref="A1:G1"/>
    <mergeCell ref="A2:G2"/>
    <mergeCell ref="A17:G17"/>
    <mergeCell ref="A18: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2026-09-01T23:27:41Z</dcterms:created>
  <dc:creator>openpyxl</dc:creator>
  <dc:description/>
  <dc:language>en-US</dc:language>
  <cp:lastModifiedBy/>
  <dcterms:modified xsi:type="dcterms:W3CDTF">2026-09-04T14:58:09Z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