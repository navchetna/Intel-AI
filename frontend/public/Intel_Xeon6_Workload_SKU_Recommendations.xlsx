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KU Recommendations" sheetId="1" state="visible" r:id="rId3"/>
    <sheet name="Assumptions" sheetId="2" state="visible" r:id="rId4"/>
  </sheets>
  <definedNames>
    <definedName function="false" hidden="true" localSheetId="0" name="_xlnm._FilterDatabase" vbProcedure="false">'SKU Recommendations'!$A$1:$Z$156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<sst xmlns="http://schemas.openxmlformats.org/spreadsheetml/2006/main" count="2067" uniqueCount="289">
  <si>
    <t xml:space="preserve">Category</t>
  </si>
  <si>
    <t xml:space="preserve">Workload</t>
  </si>
  <si>
    <t xml:space="preserve">Sub-workload / Notes</t>
  </si>
  <si>
    <t xml:space="preserve">Tier</t>
  </si>
  <si>
    <t xml:space="preserve">SKU</t>
  </si>
  <si>
    <t xml:space="preserve">Cores</t>
  </si>
  <si>
    <t xml:space="preserve">TDP (W)</t>
  </si>
  <si>
    <t xml:space="preserve">Base Freq</t>
  </si>
  <si>
    <t xml:space="preserve">All-Core Turbo</t>
  </si>
  <si>
    <t xml:space="preserve">Max Turbo</t>
  </si>
  <si>
    <t xml:space="preserve">Extra Freq / Notes</t>
  </si>
  <si>
    <t xml:space="preserve">Performance</t>
  </si>
  <si>
    <t xml:space="preserve">Why</t>
  </si>
  <si>
    <t xml:space="preserve">Core Type</t>
  </si>
  <si>
    <t xml:space="preserve">Platform / Memory Architecture</t>
  </si>
  <si>
    <t xml:space="preserve">Mem Channels</t>
  </si>
  <si>
    <t xml:space="preserve">Base Freq (GHz)</t>
  </si>
  <si>
    <t xml:space="preserve">DDR5 RDIMM Speed Used (MT/s)</t>
  </si>
  <si>
    <t xml:space="preserve">DDR5 MRDIMM Speed Used (MT/s)</t>
  </si>
  <si>
    <t xml:space="preserve">Peak Mem BW – RDIMM (GB/s)</t>
  </si>
  <si>
    <t xml:space="preserve">Peak Mem BW – MRDIMM (GB/s)</t>
  </si>
  <si>
    <t xml:space="preserve">AVX-512 FP64 TFLOPS (peak, base clk)</t>
  </si>
  <si>
    <t xml:space="preserve">AVX-512 FP32 TFLOPS (peak, base clk)</t>
  </si>
  <si>
    <t xml:space="preserve">AMX BF16/FP16 TFLOPS (peak, base clk)</t>
  </si>
  <si>
    <t xml:space="preserve">AMX INT8 TOPS (peak, base clk)</t>
  </si>
  <si>
    <t xml:space="preserve">Formula / Source</t>
  </si>
  <si>
    <t xml:space="preserve">AI / Machine Learning</t>
  </si>
  <si>
    <t xml:space="preserve">Machine Learning</t>
  </si>
  <si>
    <t xml:space="preserve">Scikit, XGBoost</t>
  </si>
  <si>
    <t xml:space="preserve">Good</t>
  </si>
  <si>
    <t xml:space="preserve">6724P</t>
  </si>
  <si>
    <t xml:space="preserve">3.6G</t>
  </si>
  <si>
    <t xml:space="preserve">4.2G</t>
  </si>
  <si>
    <t xml:space="preserve">4.3G</t>
  </si>
  <si>
    <t xml:space="preserve">Up to 1.28x higher Scikit-learn multi-instance classical machine learning performance vs prior generation***</t>
  </si>
  <si>
    <t xml:space="preserve">SKUs with the highest frequency are most likely to deliver enhanced AI performance; Key CPU characteristics - high single threaded performance, large cache and high memory bandwidth</t>
  </si>
  <si>
    <t xml:space="preserve">P-core (Granite Rapids)</t>
  </si>
  <si>
    <t xml:space="preserve">Xeon 6700/6500-series (Birch Stream SP), 8-ch</t>
  </si>
  <si>
    <t xml:space="preserve">Peak theoretical figures, not measured. See 'Assumptions &amp; Sources' tab for constants, formulas, and citations.</t>
  </si>
  <si>
    <t xml:space="preserve">Better</t>
  </si>
  <si>
    <t xml:space="preserve">6737P</t>
  </si>
  <si>
    <t xml:space="preserve">2.9G</t>
  </si>
  <si>
    <t xml:space="preserve">4G</t>
  </si>
  <si>
    <t xml:space="preserve">Best</t>
  </si>
  <si>
    <t xml:space="preserve">6960P</t>
  </si>
  <si>
    <t xml:space="preserve">2.7G</t>
  </si>
  <si>
    <t xml:space="preserve">3.8G</t>
  </si>
  <si>
    <t xml:space="preserve">3.9G</t>
  </si>
  <si>
    <t xml:space="preserve">Xeon 6900-series (Birch Stream AP), 12-ch</t>
  </si>
  <si>
    <t xml:space="preserve">Computer Vision</t>
  </si>
  <si>
    <t xml:space="preserve">ResNet50, Vision Transformer, YOLO (batch inference)</t>
  </si>
  <si>
    <t xml:space="preserve">Up to 2.17x higher ResNet-50 batch inference performance (int8) with Intel Xeon 6980P vs. AMD EPYC 9755</t>
  </si>
  <si>
    <t xml:space="preserve">Greatest number of cores is optimal; Benefits from high AMX frequency; Key CPU characteristics - high core counts, SIMD instructions and low latency</t>
  </si>
  <si>
    <t xml:space="preserve">6972P</t>
  </si>
  <si>
    <t xml:space="preserve">2.4G</t>
  </si>
  <si>
    <t xml:space="preserve">3.5G</t>
  </si>
  <si>
    <t xml:space="preserve">6980P</t>
  </si>
  <si>
    <t xml:space="preserve">2G</t>
  </si>
  <si>
    <t xml:space="preserve">3.2G</t>
  </si>
  <si>
    <t xml:space="preserve">ResNet50, Vision Transformer, YOLO (real-time inference)</t>
  </si>
  <si>
    <t xml:space="preserve">6747P</t>
  </si>
  <si>
    <t xml:space="preserve">Up to 1.86x (int8) and 1.82x (bf16) higher ResNet-50 Real-Time Inference performance with Intel Xeon 6980P [MRDIMM] vs. prior generation</t>
  </si>
  <si>
    <t xml:space="preserve">6767P</t>
  </si>
  <si>
    <t xml:space="preserve">2.6G</t>
  </si>
  <si>
    <t xml:space="preserve">6787P</t>
  </si>
  <si>
    <t xml:space="preserve">Natural Language Processing</t>
  </si>
  <si>
    <t xml:space="preserve">BERT (batch inference)</t>
  </si>
  <si>
    <t xml:space="preserve">Up to 1.85x higher BERT-Large batch inference performance (int8) with Intel Xeon 6980P vs. AMD EPYC 9755</t>
  </si>
  <si>
    <t xml:space="preserve">BERT (real-time inference)</t>
  </si>
  <si>
    <t xml:space="preserve">Up to 1.78x (int8) and 1.85x (bf16) higher BERT-Large Real-Time Inference performance with Intel Xeon 6980P [MRDIMM] vs. prior generation</t>
  </si>
  <si>
    <t xml:space="preserve">GenAI</t>
  </si>
  <si>
    <t xml:space="preserve">Llama, GPT-J (throughput, *)</t>
  </si>
  <si>
    <t xml:space="preserve">6747P*</t>
  </si>
  <si>
    <t xml:space="preserve">Up to 1.20x higher throughput with Intel Xeon 6980P compared with AMD EPYC 9965 on GPT-J-6B</t>
  </si>
  <si>
    <t xml:space="preserve">High memory bandwidth (MRDIMMs) recommended for best performance; 1st token response benefits from highest core SKUs; Key CPU characteristics - high memory capacity, high bandwidth, specialized instructions</t>
  </si>
  <si>
    <t xml:space="preserve">6787P*</t>
  </si>
  <si>
    <t xml:space="preserve">6980P*</t>
  </si>
  <si>
    <t xml:space="preserve">Llama, GPT-J (training, **)</t>
  </si>
  <si>
    <t xml:space="preserve">6737P**</t>
  </si>
  <si>
    <t xml:space="preserve">Up to 2.3x higher Llama-2-7B training (bf16) performance with the new Intel Xeon 6980P vs. prior generation</t>
  </si>
  <si>
    <t xml:space="preserve">6767P**</t>
  </si>
  <si>
    <t xml:space="preserve">6972P**</t>
  </si>
  <si>
    <t xml:space="preserve">HPC / Simulation</t>
  </si>
  <si>
    <t xml:space="preserve">Life &amp; Material Science</t>
  </si>
  <si>
    <t xml:space="preserve">GROMACS, LAMMPS, NAMD</t>
  </si>
  <si>
    <t xml:space="preserve">Up to 1.23x higher LAMMPS performance with Intel Xeon 6972P vs. AMD EPYC 9655; 1.42x higher NAMD performance with Intel Xeon 6787P vs. Intel Xeon 8592+</t>
  </si>
  <si>
    <t xml:space="preserve">Benefits from greater number of cores; Takes advantage of AVX-512 to improve performance with increased throughput and enhanced precision</t>
  </si>
  <si>
    <t xml:space="preserve">Manufacturing / Simulation</t>
  </si>
  <si>
    <t xml:space="preserve">OpenFOAM, Fluent, Dyna</t>
  </si>
  <si>
    <t xml:space="preserve">Intel Xeon 6980P delivers 1.43x higher performance and 1.34x higher performance/watt per server vs. Intel Xeon AMD EPYC 9755 on OpenFOAM geomean (2); Up to 2.43x higher OpenFOAM performance and up to 1.7x higher OpenFOAM perf/watt with Intel Xeon 6980P (MRDIMM) vs. Intel Xeon 8592+</t>
  </si>
  <si>
    <t xml:space="preserve">High memory bandwidth (MRDIMMs) recommended for best performance</t>
  </si>
  <si>
    <t xml:space="preserve">6960P*</t>
  </si>
  <si>
    <t xml:space="preserve">also 66C/48C variants</t>
  </si>
  <si>
    <t xml:space="preserve">Energy</t>
  </si>
  <si>
    <t xml:space="preserve">Seismic Kernal</t>
  </si>
  <si>
    <t xml:space="preserve">Up to 1.54x higher Seismic Kernels (geomean of 4) performance with Intel Xeon 6980P (MRDIMM) vs. AMD EPYC 9654</t>
  </si>
  <si>
    <t xml:space="preserve">High memory bandwidth (MRDIMMs) recommended for best performance; Benefit from higher core counts</t>
  </si>
  <si>
    <t xml:space="preserve">6978P</t>
  </si>
  <si>
    <t xml:space="preserve">2.1G</t>
  </si>
  <si>
    <t xml:space="preserve">Numerical Weather Simulation</t>
  </si>
  <si>
    <t xml:space="preserve">NWS</t>
  </si>
  <si>
    <t xml:space="preserve">Up to 2.17x better performance on Intel Xeon 6980P Processor (MRDIMM) compared to Intel Xeon Platinum 8592+ Processor (64C) on GFS C384 (Weather Forecast Performance)</t>
  </si>
  <si>
    <t xml:space="preserve">High memory bandwidth (MRDIMMs) recommended for best performance; Large cache sizes</t>
  </si>
  <si>
    <t xml:space="preserve">EDA</t>
  </si>
  <si>
    <t xml:space="preserve">Electronic Design Automation</t>
  </si>
  <si>
    <t xml:space="preserve">Successful with lower core count CPUs; Benefits from higher frequency CPUs</t>
  </si>
  <si>
    <t xml:space="preserve">6738P</t>
  </si>
  <si>
    <t xml:space="preserve">6745P</t>
  </si>
  <si>
    <t xml:space="preserve">3.1G</t>
  </si>
  <si>
    <t xml:space="preserve">4.1G</t>
  </si>
  <si>
    <t xml:space="preserve">Database</t>
  </si>
  <si>
    <t xml:space="preserve">SQL Database</t>
  </si>
  <si>
    <t xml:space="preserve">MySQL / relational</t>
  </si>
  <si>
    <t xml:space="preserve">Up to 1.32x higher MySQL performance with Intel Xeon 6787P vs. Intel Xeon 8592+</t>
  </si>
  <si>
    <t xml:space="preserve">High memory capacity recommended for best performance; Target lower TDP, for ideal TCO result; Intel Xeon 6 with E-cores preferred if highest performance per watt is required vs. highest performance; Ideal recommendation of lower core count SKUs with good frequency</t>
  </si>
  <si>
    <t xml:space="preserve">6740E*</t>
  </si>
  <si>
    <t xml:space="preserve">E-core SKU</t>
  </si>
  <si>
    <t xml:space="preserve">E-core (Sierra Forest)</t>
  </si>
  <si>
    <t xml:space="preserve">Xeon 6700-series E-core (Birch Stream SP), 8-ch</t>
  </si>
  <si>
    <t xml:space="preserve">N/A</t>
  </si>
  <si>
    <t xml:space="preserve">6952P</t>
  </si>
  <si>
    <t xml:space="preserve">6760P</t>
  </si>
  <si>
    <t xml:space="preserve">2.2G</t>
  </si>
  <si>
    <t xml:space="preserve">3.4G</t>
  </si>
  <si>
    <t xml:space="preserve">6756E*</t>
  </si>
  <si>
    <t xml:space="preserve">1.8G</t>
  </si>
  <si>
    <t xml:space="preserve">6766E*</t>
  </si>
  <si>
    <t xml:space="preserve">1.9G</t>
  </si>
  <si>
    <t xml:space="preserve">NoSQL Database</t>
  </si>
  <si>
    <t xml:space="preserve">MongoDB, Cassandra</t>
  </si>
  <si>
    <t xml:space="preserve">Up to 2.05x higher MongoDB performance and 1.43x perf/watt with the new Intel Xeon 6980P (DDR5) vs. Intel Xeon 8592; Up to 1.17x higher MongoDB performance with Intel Xeon 6980P vs. AMD EPYC 9755</t>
  </si>
  <si>
    <t xml:space="preserve">Target lower TDP, for ideal TCO result; Intel Xeon 6 with E-cores preferred if highest performance per watt is required vs. highest performance</t>
  </si>
  <si>
    <t xml:space="preserve">Vector Database</t>
  </si>
  <si>
    <t xml:space="preserve">Redis / VectorDB</t>
  </si>
  <si>
    <t xml:space="preserve">6732P</t>
  </si>
  <si>
    <t xml:space="preserve">Up to 1.10x higher Redis Vector Similarity Search performance with Intel Xeon 6960P vs. AMD EPYC 9575F; Up to 2.32x higher Redis VectorDB Similarity Search performance and 1.63x perf/watt with the new Intel Xeon 6980P [MRDIMM] vs. Intel Xeon 8592+</t>
  </si>
  <si>
    <t xml:space="preserve">High memory bandwidth (MRDIMMs) recommended for best performance; Target higher AMX frequency for index building; Highest core count not necessary</t>
  </si>
  <si>
    <t xml:space="preserve">AI / GenAI Infrastructure</t>
  </si>
  <si>
    <t xml:space="preserve">Training of Large GenAI models</t>
  </si>
  <si>
    <t xml:space="preserve">GPU host CPU</t>
  </si>
  <si>
    <t xml:space="preserve">Up to 19% higher performance (Python) with Intel Xeon 6776P vs. prior gen</t>
  </si>
  <si>
    <t xml:space="preserve">Large system memory capacity needed to store model; High memory bandwidth (MRDIMMs) recommended for best performance</t>
  </si>
  <si>
    <t xml:space="preserve">6962P*</t>
  </si>
  <si>
    <t xml:space="preserve">4.4G</t>
  </si>
  <si>
    <t xml:space="preserve">6776P*</t>
  </si>
  <si>
    <t xml:space="preserve">2.3G</t>
  </si>
  <si>
    <t xml:space="preserve">4.6G max</t>
  </si>
  <si>
    <t xml:space="preserve">Inference of Large GenAI models</t>
  </si>
  <si>
    <t xml:space="preserve">Up to 19% higher performance (Python) with Intel Xeon 6776P vs. prior gen; Up to 6% better performance/$ with Intel Xeon 6776P vs. AMD 9575F on Llama-3.1, 70B model**</t>
  </si>
  <si>
    <t xml:space="preserve">High system memory bandwidth to quickly move large data of text/embeddings/images from many concurrent users from memory to CPU</t>
  </si>
  <si>
    <t xml:space="preserve">Vector Search &amp; Indexing</t>
  </si>
  <si>
    <t xml:space="preserve">Up to 2.6x higher Similarity Search performance with the Intel Xeon 6779 vs. AMD 9575F; Up to 1.7x faster Inverted File Index construction with the Intel Xeon 6776P vs. AMD 9575F on Wiki-45M database using Intel SVS technology</t>
  </si>
  <si>
    <t xml:space="preserve">High core counts necessary for CPU tasks; Intel AMX highly utilized for indexing; High memory bandwidth (MRDIMMs) recommended for best performance; Secondary workload when as a host</t>
  </si>
  <si>
    <t xml:space="preserve">4.4G max</t>
  </si>
  <si>
    <t xml:space="preserve">Database (Enterprise)</t>
  </si>
  <si>
    <t xml:space="preserve">MS SQL Database</t>
  </si>
  <si>
    <t xml:space="preserve">6725P</t>
  </si>
  <si>
    <t xml:space="preserve">3.7G</t>
  </si>
  <si>
    <t xml:space="preserve">4.8G</t>
  </si>
  <si>
    <t xml:space="preserve">Up to 18% higher performance with Intel Xeon 6767P compared to prior generation for MySQL (Hammer DB)</t>
  </si>
  <si>
    <t xml:space="preserve">Optimize license costs with right-sized core counts; Target SKUs 64 cores and below to match license requirements; Leverage built-in features that optimize data processing and compression; Focus on Max Core Turbo; Support for DDR5 MRDIMMs with 6767P &amp; 6747P</t>
  </si>
  <si>
    <t xml:space="preserve">6517P</t>
  </si>
  <si>
    <t xml:space="preserve">4.0G</t>
  </si>
  <si>
    <t xml:space="preserve">Oracle Database</t>
  </si>
  <si>
    <t xml:space="preserve">Up to 15% higher performance with Intel Xeon 6747P compared to prior generation</t>
  </si>
  <si>
    <t xml:space="preserve">Storage / Enterprise / CDN</t>
  </si>
  <si>
    <t xml:space="preserve">Software-defined Storage</t>
  </si>
  <si>
    <t xml:space="preserve">6527P</t>
  </si>
  <si>
    <t xml:space="preserve">3G</t>
  </si>
  <si>
    <t xml:space="preserve">1.46x higher performance/dollar with Intel Xeon 6787P vs. Intel Xeon 8592+ for virtual performance using VMmark</t>
  </si>
  <si>
    <t xml:space="preserve">Intel QAT in storage workloads allows for offloading intensive tasks like compression/decompression; Requires more I/O as it relies on software to manage storage across multiple servers; Increased PCIe lane count and I/O per socket; Requires higher transfer rates between devices; Enhanced security features (Intel SGX &amp; Intel TDX)</t>
  </si>
  <si>
    <t xml:space="preserve">6521P*</t>
  </si>
  <si>
    <t xml:space="preserve">6741P*</t>
  </si>
  <si>
    <t xml:space="preserve">2.5G</t>
  </si>
  <si>
    <t xml:space="preserve">6781P*</t>
  </si>
  <si>
    <t xml:space="preserve">Cloud Storage</t>
  </si>
  <si>
    <t xml:space="preserve">Intel Xeon 6731P took 41.5% less time than the AMD solution with software compression to complete a Microsoft SQL Server 2022 database backup while at rest; Intel Xeon 6731P processors with Intel QAT backed up data significantly faster than software-based compression on an AMD EPYC 9355-based system, with Intel QAT reducing backup time by 38.5%</t>
  </si>
  <si>
    <t xml:space="preserve">Strong I/O throughput, memory bandwidth &amp; core density to manage both structured and unstructured data; Intel QAT in storage workloads allows for offloading intensive tasks like compression/decompression; Deeply integrated virtualization &amp; orchestration with OpenStack, Kubernetes, &amp; VMware; Mature ecosystem NVMe &amp; ISA-L SPDK &amp; DPDK; Enhanced security features (Intel SGX &amp; Intel TDX)</t>
  </si>
  <si>
    <t xml:space="preserve">6511P*</t>
  </si>
  <si>
    <t xml:space="preserve">6731P*</t>
  </si>
  <si>
    <t xml:space="preserve">Traditional Enterprise</t>
  </si>
  <si>
    <t xml:space="preserve">6944P</t>
  </si>
  <si>
    <t xml:space="preserve">Up to 5.5% higher performance and 1.46x higher performance/dollar with Intel Xeon 6760P for virtual performance using VMmark; Up to 1.38x higher performance/dollar with Intel Xeon 6760P vs. Intel Xeon 8592+ for Microsoft SQL with VMware; Up to 1.41x higher performance/dollar with Intel Xeon 6760P vs. Intel Xeon 8592+ for Oracle DB with VMware</t>
  </si>
  <si>
    <t xml:space="preserve">High core count in single socket resolves NUMA provisioning complexity; Virtualization - multiple VMs running on the same physical hardware need to access shared storage simultaneously; Price sensitivity - price target; Enhanced security features (Intel SGX &amp; Intel TDX)</t>
  </si>
  <si>
    <t xml:space="preserve">6730P</t>
  </si>
  <si>
    <t xml:space="preserve">6761P*</t>
  </si>
  <si>
    <t xml:space="preserve">CDN</t>
  </si>
  <si>
    <t xml:space="preserve">Intel Xeon 6781P processor has up to 1.16x better performance and up to 1.16x performance per watt than Intel Xeon 8592P processor for CDN Live Linear; Intel Xeon 6781P processor has up to 2.45x better performance and up to 1.88x performance per watt than Intel Xeon 8380 processor for CDN Video On Demand</t>
  </si>
  <si>
    <t xml:space="preserve">Requires high performance and latency reductions; Scalability &amp; load distribution; Reliability &amp; availability RAS features (focus on SLA uptimes); Enhanced security features (Intel SGX &amp; Intel TDX)</t>
  </si>
  <si>
    <t xml:space="preserve">6736PP</t>
  </si>
  <si>
    <t xml:space="preserve">Storage / DB / VDI / AI (1-socket)</t>
  </si>
  <si>
    <t xml:space="preserve">Storage</t>
  </si>
  <si>
    <t xml:space="preserve">1-socket</t>
  </si>
  <si>
    <t xml:space="preserve">6731P</t>
  </si>
  <si>
    <t xml:space="preserve">A single Intel Xeon 6 one-socket server delivered a record 116 GB/s throughput, matching multi-node, scale-out competitors with up to 15x fewer servers, dramatically reducing cost, power, and complexity</t>
  </si>
  <si>
    <t xml:space="preserve">6521P</t>
  </si>
  <si>
    <t xml:space="preserve">6761P</t>
  </si>
  <si>
    <t xml:space="preserve">6741P</t>
  </si>
  <si>
    <t xml:space="preserve">6781P</t>
  </si>
  <si>
    <t xml:space="preserve">Databases</t>
  </si>
  <si>
    <t xml:space="preserve">i.e., Cassandra (1-socket)</t>
  </si>
  <si>
    <t xml:space="preserve">6511P</t>
  </si>
  <si>
    <t xml:space="preserve">Replace your 2nd Gen Xeon 2-socket servers with 1-socket Xeon 6 servers in a virtualized environment with Microsoft SQL Server and VMware and reduce your server fleet by 50%, as well as per-core licensing (if applicable) by 53%</t>
  </si>
  <si>
    <t xml:space="preserve">Greater I/O to retrieve and update read/write compared to purely in-memory; Streamline architecture of single socket benefits smaller scale-out databases</t>
  </si>
  <si>
    <t xml:space="preserve">Hyperconverged Infrastructure (1-socket)</t>
  </si>
  <si>
    <t xml:space="preserve">Up to 28% reduction in cost per user with Intel Xeon 6761P vs. Intel Xeon 8592+ for Virtual Desktop Infrastructure (VDI) performance*</t>
  </si>
  <si>
    <t xml:space="preserve">Artificial Intelligence</t>
  </si>
  <si>
    <t xml:space="preserve">1-socket, no discrete GPU</t>
  </si>
  <si>
    <t xml:space="preserve">Coming soon in Q1'26</t>
  </si>
  <si>
    <t xml:space="preserve">Leverage AI acceleration with Intel AMX; Cost-effective AI inferencing without discrete accelerators; Simplified &amp; flexible system design; Lower total cost of ownership &amp; power efficiency; Enhanced security features (Intel SGX &amp; Intel TDX)</t>
  </si>
  <si>
    <t xml:space="preserve">6774P**</t>
  </si>
  <si>
    <t xml:space="preserve">Financial Services (FSI)</t>
  </si>
  <si>
    <t xml:space="preserve">High Frequency Trading</t>
  </si>
  <si>
    <t xml:space="preserve">On STAC-A2, the joint solution with Intel Xeon 6 processors and Micron MRDIMMs delivered world-record speed for risk analytics and Monte Carlo simulations, achieving 35.2 milliseconds to market insight, over two times faster cold-start, and a 28% gain in energy efficiency compared to previous bests</t>
  </si>
  <si>
    <t xml:space="preserve">Workload characterization: STAC-TI Working Group | STAC-Insight for the Algorithmic Enterprise | STAC; Low-latency and high-frequency optimized, minimizing jitter and tail-end latency (95%-99%); Determinism is important, optimized with monolithic die architectures; High cache-to-core ratio; Highest frequency at max core turbo</t>
  </si>
  <si>
    <t xml:space="preserve">3.0G</t>
  </si>
  <si>
    <t xml:space="preserve">6558Q</t>
  </si>
  <si>
    <t xml:space="preserve">Legacy P-core (5th Gen Xeon Scalable / Emerald Rapids)</t>
  </si>
  <si>
    <t xml:space="preserve">5th Gen Xeon Scalable (Emerald Rapids), 8-ch</t>
  </si>
  <si>
    <t xml:space="preserve">8562Y+</t>
  </si>
  <si>
    <t xml:space="preserve">2.8G</t>
  </si>
  <si>
    <t xml:space="preserve">FSI / HPC Grid</t>
  </si>
  <si>
    <t xml:space="preserve">Monte Carlo, Heston, Black Scholes</t>
  </si>
  <si>
    <t xml:space="preserve">6980P is a 2.13x throughput increase compared to EMR 8952+ and 2.6x vs. 8480+**; Up to 1.7x higher FSI Kernels performance with Intel Xeon 6980P [MRDIMM] vs. AMD EPYC 9654</t>
  </si>
  <si>
    <t xml:space="preserve">High memory bandwidth (MRDIMMs) recommended for best performance; Benefit from higher core counts and large caches (cache per core); Built-in security and compliance features meeting FSO compliance requirements (QAT, RAS, TDX); Advanced power management to optimize energy savings</t>
  </si>
  <si>
    <t xml:space="preserve">FSI / On-Prem Cloud</t>
  </si>
  <si>
    <t xml:space="preserve">VMware/OpenShift</t>
  </si>
  <si>
    <t xml:space="preserve">Up to 1.47x higher FSI Kernels performance with Intel Xeon 6787P vs. Intel Xeon 8592+</t>
  </si>
  <si>
    <t xml:space="preserve">Optimize license costs with right-sized core counts; Performance optimization leveraging AMX and AVX-512; Cost efficiency - looking for lower overall systems cost and best TCO; With license costs, look for 64-core and below options; Built-in security and compliance features meeting FSO compliance requirements (QAT, RAS, TDX); Advanced power management to optimize energy savings</t>
  </si>
  <si>
    <t xml:space="preserve">6520P</t>
  </si>
  <si>
    <t xml:space="preserve">Notes:</t>
  </si>
  <si>
    <t xml:space="preserve">Data compiled from 8 Intel Xeon 6 'Good/Better/Best' workload-recommendation slide images provided by the user. SKU naming preserves original superscript markers (*, **, ***) which denote footnotes on the source slides. Frequencies shown as Base/All-Core Turbo/Max Turbo (GHz) as listed per SKU; some SKUs list an additional 4th frequency (max single-core turbo), captured in 'Extra Freq / Notes'.</t>
  </si>
  <si>
    <t xml:space="preserve">Assumptions &amp; Sources – TFLOPS and Memory Bandwidth Estimates</t>
  </si>
  <si>
    <t xml:space="preserve">Constant</t>
  </si>
  <si>
    <t xml:space="preserve">Value</t>
  </si>
  <si>
    <t xml:space="preserve">Notes</t>
  </si>
  <si>
    <t xml:space="preserve">AVX-512 FP64 FLOPs/cycle/core – P-core (2× 512-bit FMA)</t>
  </si>
  <si>
    <t xml:space="preserve">8 doubles/vector × 2 FMA units × 2 ops (mul+add) = 32</t>
  </si>
  <si>
    <t xml:space="preserve">AVX-512 FP32 FLOPs/cycle/core – P-core (2× 512-bit FMA)</t>
  </si>
  <si>
    <t xml:space="preserve">16 floats/vector × 2 FMA units × 2 ops = 64 (2× the FP64 rate)</t>
  </si>
  <si>
    <t xml:space="preserve">AMX BF16/FP16 FLOPs/cycle/core</t>
  </si>
  <si>
    <t xml:space="preserve">Intel-published figure, Xeon 6 Product Brief</t>
  </si>
  <si>
    <t xml:space="preserve">AMX INT8 OPs/cycle/core</t>
  </si>
  <si>
    <t xml:space="preserve">AVX-512 FP64 FLOPs/cycle/core – E-core (Sierra Forest, est.)</t>
  </si>
  <si>
    <t xml:space="preserve">Estimate: Sierra Forest E-cores implement a narrower/single-FMA-equivalent AVX-512 datapath and have no AMX. Treat as approximate; not an Intel-published figure.</t>
  </si>
  <si>
    <t xml:space="preserve">AVX-512 FP32 FLOPs/cycle/core – E-core (est.)</t>
  </si>
  <si>
    <t xml:space="preserve">2× the E-core FP64 estimate, same caveat as above</t>
  </si>
  <si>
    <t xml:space="preserve">Bytes per transfer per DDR5 channel</t>
  </si>
  <si>
    <t xml:space="preserve">DDR5 channel is 64-bit wide = 8 bytes/transfer</t>
  </si>
  <si>
    <t xml:space="preserve">DDR5 RDIMM speed – Xeon 6 (MT/s)</t>
  </si>
  <si>
    <t xml:space="preserve">Intel Xeon 6 Product Brief; Kingston Birch Stream platform guide</t>
  </si>
  <si>
    <t xml:space="preserve">DDR5 MRDIMM speed – Xeon 6900-series / AP platform (MT/s)</t>
  </si>
  <si>
    <t xml:space="preserve">Kingston Birch Stream guide; Intel Xeon 6 Product Brief (2nd Gen MRDIMM)</t>
  </si>
  <si>
    <t xml:space="preserve">DDR5 MRDIMM speed – Xeon 6700/6500-series / SP platform (MT/s)</t>
  </si>
  <si>
    <t xml:space="preserve">Kingston Birch Stream guide</t>
  </si>
  <si>
    <t xml:space="preserve">DDR5 RDIMM speed – Legacy 5th Gen Xeon Scalable / Emerald Rapids (MT/s)</t>
  </si>
  <si>
    <t xml:space="preserve">Intel 5th Gen Xeon Scalable spec (pre-Xeon 6 platform); MRDIMM support for these specific SKUs not verified, so left as N/A</t>
  </si>
  <si>
    <t xml:space="preserve">Formulas used in the 'SKU Recommendations' tab</t>
  </si>
  <si>
    <t xml:space="preserve">Channels × RDIMM speed (MT/s) × 8 bytes / 1000</t>
  </si>
  <si>
    <t xml:space="preserve">Channels × MRDIMM speed (MT/s) × 8 bytes / 1000  (N/A where MRDIMM isn't qualified)</t>
  </si>
  <si>
    <t xml:space="preserve">AVX-512 FP64 TFLOPS (peak)</t>
  </si>
  <si>
    <t xml:space="preserve">Cores × Base Clock (GHz) × FP64 FLOPs/cycle/core ÷ 1000</t>
  </si>
  <si>
    <t xml:space="preserve">AVX-512 FP32 TFLOPS (peak)</t>
  </si>
  <si>
    <t xml:space="preserve">Cores × Base Clock (GHz) × FP32 FLOPs/cycle/core ÷ 1000</t>
  </si>
  <si>
    <t xml:space="preserve">AMX BF16/FP16 TFLOPS (peak)</t>
  </si>
  <si>
    <t xml:space="preserve">Cores × Base Clock (GHz) × 1024 ÷ 1000  (P-core / legacy only, N/A for E-core)</t>
  </si>
  <si>
    <t xml:space="preserve">AMX INT8 TOPS (peak)</t>
  </si>
  <si>
    <t xml:space="preserve">Cores × Base Clock (GHz) × 2048 ÷ 1000  (P-core / legacy only, N/A for E-core)</t>
  </si>
  <si>
    <t xml:space="preserve">Methodology notes</t>
  </si>
  <si>
    <t xml:space="preserve">• All TFLOPS figures are THEORETICAL PEAK compute, calculated at each SKU's BASE clock (not turbo), which is the standard, conservative convention used in HPC peak-FLOPS estimates (e.g. HPL/LINPACK peak calculations) because heavy AVX-512/AMX code typically runs at or near base clock rather than single-core turbo.</t>
  </si>
  <si>
    <t xml:space="preserve">• Real, sustained performance will be lower than peak — typically 60–90% of peak for well-optimized HPC/AI kernels, and considerably lower for general-purpose or memory-bound code. Use these figures for relative SKU comparison, not capacity planning.</t>
  </si>
  <si>
    <t xml:space="preserve">• Memory bandwidth figures are theoretical peak transfer rate of the memory subsystem (channels × speed × width) and do not account for real-world DDR5 efficiency losses (typically 70–85% of peak is achievable in practice, e.g. STREAM benchmark).</t>
  </si>
  <si>
    <t xml:space="preserve">• Xeon 6 SKU platform/channel assignment is based on the SKU numbering convention: 6900-series (e.g. 6980P, 6972P, 6960P, 6952P, 6944P, 6978P, 6962P) = 12-channel 'AP' platform (Birch Stream); 6700/6500-series (all other '...P' SKUs) = 8-channel 'SP' platform. 'E' suffix SKUs (6740E, 6756E, 6766E) are Sierra Forest E-core parts on the 8-channel SP platform. 6558Q and 8562Y+ are 5th Gen Xeon Scalable (Emerald Rapids) SKUs, not Xeon 6, included in the original HFT slide as an alternative low-latency option.</t>
  </si>
  <si>
    <t xml:space="preserve">• AMX (BF16/FP16 = 1024 FLOPs/cycle/core, INT8 = 2048 OPs/cycle/core) is Intel's own published per-core peak figure from the Xeon 6 Product Brief; it is not present on E-core (Sierra Forest) SKUs, so those cells return 'N/A (no AMX)'.</t>
  </si>
  <si>
    <t xml:space="preserve">Sources</t>
  </si>
  <si>
    <t xml:space="preserve">• Intel Xeon 6 Product Brief (AMX FLOPs/cycle, DDR5-6400 / MRDIMM support)</t>
  </si>
  <si>
    <t xml:space="preserve">https://www.intel.com/content/www/us/en/products/docs/xeon-6-product-brief.html</t>
  </si>
  <si>
    <t xml:space="preserve">• Kingston – Intel Xeon 6 Processor Platform (Birch Stream) DDR5 channel/speed by series</t>
  </si>
  <si>
    <t xml:space="preserve">https://www.kingston.com/en/memory/server-memory/birch-stream</t>
  </si>
  <si>
    <t xml:space="preserve">• Kingston – Intel Xeon 6 Guide: Key Features, Benefits &amp; Use Cases</t>
  </si>
  <si>
    <t xml:space="preserve">https://www.kingston.com/en/blog/servers-and-data-centers/intel-xeon-6-guide-features-benefits-use-cases</t>
  </si>
  <si>
    <t xml:space="preserve">• Chips and Cheese – A Look into Intel Xeon 6's Memory Subsystem (2× 512-bit FMA per P-core confirmation)</t>
  </si>
  <si>
    <t xml:space="preserve">https://chipsandcheese.com/p/a-look-into-intel-xeon-6s-memory</t>
  </si>
  <si>
    <t xml:space="preserve">• Grokipedia – Granite Rapids peak FP64/FP32 TFLOPS worked example (6980P), cross-check of formula</t>
  </si>
  <si>
    <t xml:space="preserve">https://grokipedia.com/page/Granite_Rapids</t>
  </si>
  <si>
    <t xml:space="preserve">• Phoronix – MRDIMM 8800MT/s vs. DDR5-6400 with Intel Xeon 6980P (real-world MRDIMM benchmarking context)</t>
  </si>
  <si>
    <t xml:space="preserve">https://www.phoronix.com/review/intel-xeon6-mrdimm-ddr5</t>
  </si>
  <si>
    <t xml:space="preserve">• WccfTech – Intel Xeon 6 8000 MT/s RDIMM / 8800 MT/s Gen-2 MRDIMM roadmap</t>
  </si>
  <si>
    <t xml:space="preserve">https://wccftech.com/intel-xeon-6-leaps-to-8000-mt-s-memory-now-but-the-real-payoff-waits-for-8800-mt-s-mrdimm-in-2027/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</si>
</sst>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i val="true"/>
      <sz val="8"/>
      <name val="Arial"/>
      <family val="0"/>
      <charset val="1"/>
    </font>
    <font>
      <b val="true"/>
      <sz val="13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u val="single"/>
      <sz val="9"/>
      <color rgb="FF1155CC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9EAD3"/>
        <bgColor rgb="FFC9DAF8"/>
      </patternFill>
    </fill>
    <fill>
      <patternFill patternType="solid">
        <fgColor rgb="FFC9DAF8"/>
        <bgColor rgb="FFD9EAD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9DAF8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1155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3" min="12" style="0" width="55"/>
    <col collapsed="false" customWidth="true" hidden="false" outlineLevel="0" max="14" min="14" style="0" width="22"/>
    <col collapsed="false" customWidth="true" hidden="false" outlineLevel="0" max="15" min="15" style="0" width="30"/>
    <col collapsed="false" customWidth="true" hidden="false" outlineLevel="0" max="16" min="16" style="0" width="10"/>
    <col collapsed="false" customWidth="true" hidden="false" outlineLevel="0" max="17" min="17" style="0" width="11"/>
    <col collapsed="false" customWidth="true" hidden="false" outlineLevel="0" max="21" min="18" style="0" width="13"/>
    <col collapsed="false" customWidth="true" hidden="false" outlineLevel="0" max="23" min="22" style="0" width="14"/>
    <col collapsed="false" customWidth="true" hidden="false" outlineLevel="0" max="24" min="24" style="0" width="15"/>
    <col collapsed="false" customWidth="true" hidden="false" outlineLevel="0" max="25" min="25" style="0" width="14"/>
    <col collapsed="false" customWidth="true" hidden="false" outlineLevel="0" max="26" min="26" style="0" width="30"/>
  </cols>
  <sheetData>
    <row r="1" customFormat="false" ht="57.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32.8" hidden="false" customHeight="false" outlineLevel="0" collapsed="false">
      <c r="A2" s="2" t="s">
        <v>26</v>
      </c>
      <c r="B2" s="2" t="s">
        <v>27</v>
      </c>
      <c r="C2" s="2" t="s">
        <v>28</v>
      </c>
      <c r="D2" s="3" t="s">
        <v>29</v>
      </c>
      <c r="E2" s="2" t="s">
        <v>30</v>
      </c>
      <c r="F2" s="2" t="n">
        <v>16</v>
      </c>
      <c r="G2" s="2" t="n">
        <v>210</v>
      </c>
      <c r="H2" s="2" t="s">
        <v>31</v>
      </c>
      <c r="I2" s="2" t="s">
        <v>32</v>
      </c>
      <c r="J2" s="2" t="s">
        <v>33</v>
      </c>
      <c r="K2" s="2"/>
      <c r="L2" s="2" t="s">
        <v>34</v>
      </c>
      <c r="M2" s="2" t="s">
        <v>35</v>
      </c>
      <c r="N2" s="2" t="s">
        <v>36</v>
      </c>
      <c r="O2" s="2" t="s">
        <v>37</v>
      </c>
      <c r="P2" s="2" t="n">
        <v>8</v>
      </c>
      <c r="Q2" s="4" t="n">
        <v>3.6</v>
      </c>
      <c r="R2" s="2" t="n">
        <v>6400</v>
      </c>
      <c r="S2" s="2" t="n">
        <v>8000</v>
      </c>
      <c r="T2" s="4" t="n">
        <f aca="false">P2*R2*Assumptions!$B$10/1000</f>
        <v>409.6</v>
      </c>
      <c r="U2" s="4" t="n">
        <f aca="false">IF(ISNUMBER(S2),P2*S2*Assumptions!$B$10/1000,"N/A")</f>
        <v>512</v>
      </c>
      <c r="V2" s="5" t="n">
        <f aca="false">F2*Q2*IF(N2="E-core (Sierra Forest)",Assumptions!$B$8,Assumptions!$B$4)/1000</f>
        <v>1.8432</v>
      </c>
      <c r="W2" s="5" t="n">
        <f aca="false">F2*Q2*IF(N2="E-core (Sierra Forest)",Assumptions!$B$9,Assumptions!$B$5)/1000</f>
        <v>3.6864</v>
      </c>
      <c r="X2" s="4" t="n">
        <f aca="false">IF(N2="E-core (Sierra Forest)","N/A (no AMX)",F2*Q2*Assumptions!$B$6/1000)</f>
        <v>58.9824</v>
      </c>
      <c r="Y2" s="4" t="n">
        <f aca="false">IF(N2="E-core (Sierra Forest)","N/A (no AMX)",F2*Q2*Assumptions!$B$7/1000)</f>
        <v>117.9648</v>
      </c>
      <c r="Z2" s="2" t="s">
        <v>38</v>
      </c>
    </row>
    <row r="3" customFormat="false" ht="32.8" hidden="false" customHeight="false" outlineLevel="0" collapsed="false">
      <c r="A3" s="2" t="s">
        <v>26</v>
      </c>
      <c r="B3" s="2" t="s">
        <v>27</v>
      </c>
      <c r="C3" s="2" t="s">
        <v>28</v>
      </c>
      <c r="D3" s="6" t="s">
        <v>39</v>
      </c>
      <c r="E3" s="2" t="s">
        <v>40</v>
      </c>
      <c r="F3" s="2" t="n">
        <v>32</v>
      </c>
      <c r="G3" s="2" t="n">
        <v>270</v>
      </c>
      <c r="H3" s="2" t="s">
        <v>41</v>
      </c>
      <c r="I3" s="2" t="s">
        <v>42</v>
      </c>
      <c r="J3" s="2" t="s">
        <v>42</v>
      </c>
      <c r="K3" s="2"/>
      <c r="L3" s="2" t="s">
        <v>34</v>
      </c>
      <c r="M3" s="2" t="s">
        <v>35</v>
      </c>
      <c r="N3" s="2" t="s">
        <v>36</v>
      </c>
      <c r="O3" s="2" t="s">
        <v>37</v>
      </c>
      <c r="P3" s="2" t="n">
        <v>8</v>
      </c>
      <c r="Q3" s="4" t="n">
        <v>2.9</v>
      </c>
      <c r="R3" s="2" t="n">
        <v>6400</v>
      </c>
      <c r="S3" s="2" t="n">
        <v>8000</v>
      </c>
      <c r="T3" s="4" t="n">
        <f aca="false">P3*R3*Assumptions!$B$10/1000</f>
        <v>409.6</v>
      </c>
      <c r="U3" s="4" t="n">
        <f aca="false">IF(ISNUMBER(S3),P3*S3*Assumptions!$B$10/1000,"N/A")</f>
        <v>512</v>
      </c>
      <c r="V3" s="5" t="n">
        <f aca="false">F3*Q3*IF(N3="E-core (Sierra Forest)",Assumptions!$B$8,Assumptions!$B$4)/1000</f>
        <v>2.9696</v>
      </c>
      <c r="W3" s="5" t="n">
        <f aca="false">F3*Q3*IF(N3="E-core (Sierra Forest)",Assumptions!$B$9,Assumptions!$B$5)/1000</f>
        <v>5.9392</v>
      </c>
      <c r="X3" s="4" t="n">
        <f aca="false">IF(N3="E-core (Sierra Forest)","N/A (no AMX)",F3*Q3*Assumptions!$B$6/1000)</f>
        <v>95.0272</v>
      </c>
      <c r="Y3" s="4" t="n">
        <f aca="false">IF(N3="E-core (Sierra Forest)","N/A (no AMX)",F3*Q3*Assumptions!$B$7/1000)</f>
        <v>190.0544</v>
      </c>
      <c r="Z3" s="2" t="s">
        <v>38</v>
      </c>
    </row>
    <row r="4" customFormat="false" ht="32.8" hidden="false" customHeight="false" outlineLevel="0" collapsed="false">
      <c r="A4" s="2" t="s">
        <v>26</v>
      </c>
      <c r="B4" s="2" t="s">
        <v>27</v>
      </c>
      <c r="C4" s="2" t="s">
        <v>28</v>
      </c>
      <c r="D4" s="7" t="s">
        <v>43</v>
      </c>
      <c r="E4" s="2" t="s">
        <v>44</v>
      </c>
      <c r="F4" s="2" t="n">
        <v>72</v>
      </c>
      <c r="G4" s="2" t="n">
        <v>500</v>
      </c>
      <c r="H4" s="2" t="s">
        <v>45</v>
      </c>
      <c r="I4" s="2" t="s">
        <v>46</v>
      </c>
      <c r="J4" s="2" t="s">
        <v>47</v>
      </c>
      <c r="K4" s="2"/>
      <c r="L4" s="2" t="s">
        <v>34</v>
      </c>
      <c r="M4" s="2" t="s">
        <v>35</v>
      </c>
      <c r="N4" s="2" t="s">
        <v>36</v>
      </c>
      <c r="O4" s="2" t="s">
        <v>48</v>
      </c>
      <c r="P4" s="2" t="n">
        <v>12</v>
      </c>
      <c r="Q4" s="4" t="n">
        <v>2.7</v>
      </c>
      <c r="R4" s="2" t="n">
        <v>6400</v>
      </c>
      <c r="S4" s="2" t="n">
        <v>8800</v>
      </c>
      <c r="T4" s="4" t="n">
        <f aca="false">P4*R4*Assumptions!$B$10/1000</f>
        <v>614.4</v>
      </c>
      <c r="U4" s="4" t="n">
        <f aca="false">IF(ISNUMBER(S4),P4*S4*Assumptions!$B$10/1000,"N/A")</f>
        <v>844.8</v>
      </c>
      <c r="V4" s="5" t="n">
        <f aca="false">F4*Q4*IF(N4="E-core (Sierra Forest)",Assumptions!$B$8,Assumptions!$B$4)/1000</f>
        <v>6.2208</v>
      </c>
      <c r="W4" s="5" t="n">
        <f aca="false">F4*Q4*IF(N4="E-core (Sierra Forest)",Assumptions!$B$9,Assumptions!$B$5)/1000</f>
        <v>12.4416</v>
      </c>
      <c r="X4" s="4" t="n">
        <f aca="false">IF(N4="E-core (Sierra Forest)","N/A (no AMX)",F4*Q4*Assumptions!$B$6/1000)</f>
        <v>199.0656</v>
      </c>
      <c r="Y4" s="4" t="n">
        <f aca="false">IF(N4="E-core (Sierra Forest)","N/A (no AMX)",F4*Q4*Assumptions!$B$7/1000)</f>
        <v>398.1312</v>
      </c>
      <c r="Z4" s="2" t="s">
        <v>38</v>
      </c>
    </row>
    <row r="5" customFormat="false" ht="32.8" hidden="false" customHeight="false" outlineLevel="0" collapsed="false">
      <c r="A5" s="2" t="s">
        <v>26</v>
      </c>
      <c r="B5" s="2" t="s">
        <v>49</v>
      </c>
      <c r="C5" s="2" t="s">
        <v>50</v>
      </c>
      <c r="D5" s="3" t="s">
        <v>29</v>
      </c>
      <c r="E5" s="2" t="s">
        <v>44</v>
      </c>
      <c r="F5" s="2" t="n">
        <v>72</v>
      </c>
      <c r="G5" s="2" t="n">
        <v>500</v>
      </c>
      <c r="H5" s="2" t="s">
        <v>45</v>
      </c>
      <c r="I5" s="2" t="s">
        <v>46</v>
      </c>
      <c r="J5" s="2" t="s">
        <v>47</v>
      </c>
      <c r="K5" s="2"/>
      <c r="L5" s="2" t="s">
        <v>51</v>
      </c>
      <c r="M5" s="2" t="s">
        <v>52</v>
      </c>
      <c r="N5" s="2" t="s">
        <v>36</v>
      </c>
      <c r="O5" s="2" t="s">
        <v>48</v>
      </c>
      <c r="P5" s="2" t="n">
        <v>12</v>
      </c>
      <c r="Q5" s="4" t="n">
        <v>2.7</v>
      </c>
      <c r="R5" s="2" t="n">
        <v>6400</v>
      </c>
      <c r="S5" s="2" t="n">
        <v>8800</v>
      </c>
      <c r="T5" s="4" t="n">
        <f aca="false">P5*R5*Assumptions!$B$10/1000</f>
        <v>614.4</v>
      </c>
      <c r="U5" s="4" t="n">
        <f aca="false">IF(ISNUMBER(S5),P5*S5*Assumptions!$B$10/1000,"N/A")</f>
        <v>844.8</v>
      </c>
      <c r="V5" s="5" t="n">
        <f aca="false">F5*Q5*IF(N5="E-core (Sierra Forest)",Assumptions!$B$8,Assumptions!$B$4)/1000</f>
        <v>6.2208</v>
      </c>
      <c r="W5" s="5" t="n">
        <f aca="false">F5*Q5*IF(N5="E-core (Sierra Forest)",Assumptions!$B$9,Assumptions!$B$5)/1000</f>
        <v>12.4416</v>
      </c>
      <c r="X5" s="4" t="n">
        <f aca="false">IF(N5="E-core (Sierra Forest)","N/A (no AMX)",F5*Q5*Assumptions!$B$6/1000)</f>
        <v>199.0656</v>
      </c>
      <c r="Y5" s="4" t="n">
        <f aca="false">IF(N5="E-core (Sierra Forest)","N/A (no AMX)",F5*Q5*Assumptions!$B$7/1000)</f>
        <v>398.1312</v>
      </c>
      <c r="Z5" s="2" t="s">
        <v>38</v>
      </c>
    </row>
    <row r="6" customFormat="false" ht="32.8" hidden="false" customHeight="false" outlineLevel="0" collapsed="false">
      <c r="A6" s="2" t="s">
        <v>26</v>
      </c>
      <c r="B6" s="2" t="s">
        <v>49</v>
      </c>
      <c r="C6" s="2" t="s">
        <v>50</v>
      </c>
      <c r="D6" s="6" t="s">
        <v>39</v>
      </c>
      <c r="E6" s="2" t="s">
        <v>53</v>
      </c>
      <c r="F6" s="2" t="n">
        <v>96</v>
      </c>
      <c r="G6" s="2" t="n">
        <v>500</v>
      </c>
      <c r="H6" s="2" t="s">
        <v>54</v>
      </c>
      <c r="I6" s="2" t="s">
        <v>55</v>
      </c>
      <c r="J6" s="2" t="s">
        <v>47</v>
      </c>
      <c r="K6" s="2"/>
      <c r="L6" s="2" t="s">
        <v>51</v>
      </c>
      <c r="M6" s="2" t="s">
        <v>52</v>
      </c>
      <c r="N6" s="2" t="s">
        <v>36</v>
      </c>
      <c r="O6" s="2" t="s">
        <v>48</v>
      </c>
      <c r="P6" s="2" t="n">
        <v>12</v>
      </c>
      <c r="Q6" s="4" t="n">
        <v>2.4</v>
      </c>
      <c r="R6" s="2" t="n">
        <v>6400</v>
      </c>
      <c r="S6" s="2" t="n">
        <v>8800</v>
      </c>
      <c r="T6" s="4" t="n">
        <f aca="false">P6*R6*Assumptions!$B$10/1000</f>
        <v>614.4</v>
      </c>
      <c r="U6" s="4" t="n">
        <f aca="false">IF(ISNUMBER(S6),P6*S6*Assumptions!$B$10/1000,"N/A")</f>
        <v>844.8</v>
      </c>
      <c r="V6" s="5" t="n">
        <f aca="false">F6*Q6*IF(N6="E-core (Sierra Forest)",Assumptions!$B$8,Assumptions!$B$4)/1000</f>
        <v>7.3728</v>
      </c>
      <c r="W6" s="5" t="n">
        <f aca="false">F6*Q6*IF(N6="E-core (Sierra Forest)",Assumptions!$B$9,Assumptions!$B$5)/1000</f>
        <v>14.7456</v>
      </c>
      <c r="X6" s="4" t="n">
        <f aca="false">IF(N6="E-core (Sierra Forest)","N/A (no AMX)",F6*Q6*Assumptions!$B$6/1000)</f>
        <v>235.9296</v>
      </c>
      <c r="Y6" s="4" t="n">
        <f aca="false">IF(N6="E-core (Sierra Forest)","N/A (no AMX)",F6*Q6*Assumptions!$B$7/1000)</f>
        <v>471.8592</v>
      </c>
      <c r="Z6" s="2" t="s">
        <v>38</v>
      </c>
    </row>
    <row r="7" customFormat="false" ht="32.8" hidden="false" customHeight="false" outlineLevel="0" collapsed="false">
      <c r="A7" s="2" t="s">
        <v>26</v>
      </c>
      <c r="B7" s="2" t="s">
        <v>49</v>
      </c>
      <c r="C7" s="2" t="s">
        <v>50</v>
      </c>
      <c r="D7" s="7" t="s">
        <v>43</v>
      </c>
      <c r="E7" s="2" t="s">
        <v>56</v>
      </c>
      <c r="F7" s="2" t="n">
        <v>128</v>
      </c>
      <c r="G7" s="2" t="n">
        <v>500</v>
      </c>
      <c r="H7" s="2" t="s">
        <v>57</v>
      </c>
      <c r="I7" s="2" t="s">
        <v>58</v>
      </c>
      <c r="J7" s="2" t="s">
        <v>47</v>
      </c>
      <c r="K7" s="2"/>
      <c r="L7" s="2" t="s">
        <v>51</v>
      </c>
      <c r="M7" s="2" t="s">
        <v>52</v>
      </c>
      <c r="N7" s="2" t="s">
        <v>36</v>
      </c>
      <c r="O7" s="2" t="s">
        <v>48</v>
      </c>
      <c r="P7" s="2" t="n">
        <v>12</v>
      </c>
      <c r="Q7" s="4" t="n">
        <v>2</v>
      </c>
      <c r="R7" s="2" t="n">
        <v>6400</v>
      </c>
      <c r="S7" s="2" t="n">
        <v>8800</v>
      </c>
      <c r="T7" s="4" t="n">
        <f aca="false">P7*R7*Assumptions!$B$10/1000</f>
        <v>614.4</v>
      </c>
      <c r="U7" s="4" t="n">
        <f aca="false">IF(ISNUMBER(S7),P7*S7*Assumptions!$B$10/1000,"N/A")</f>
        <v>844.8</v>
      </c>
      <c r="V7" s="5" t="n">
        <f aca="false">F7*Q7*IF(N7="E-core (Sierra Forest)",Assumptions!$B$8,Assumptions!$B$4)/1000</f>
        <v>8.192</v>
      </c>
      <c r="W7" s="5" t="n">
        <f aca="false">F7*Q7*IF(N7="E-core (Sierra Forest)",Assumptions!$B$9,Assumptions!$B$5)/1000</f>
        <v>16.384</v>
      </c>
      <c r="X7" s="4" t="n">
        <f aca="false">IF(N7="E-core (Sierra Forest)","N/A (no AMX)",F7*Q7*Assumptions!$B$6/1000)</f>
        <v>262.144</v>
      </c>
      <c r="Y7" s="4" t="n">
        <f aca="false">IF(N7="E-core (Sierra Forest)","N/A (no AMX)",F7*Q7*Assumptions!$B$7/1000)</f>
        <v>524.288</v>
      </c>
      <c r="Z7" s="2" t="s">
        <v>38</v>
      </c>
    </row>
    <row r="8" customFormat="false" ht="32.8" hidden="false" customHeight="false" outlineLevel="0" collapsed="false">
      <c r="A8" s="2" t="s">
        <v>26</v>
      </c>
      <c r="B8" s="2" t="s">
        <v>49</v>
      </c>
      <c r="C8" s="2" t="s">
        <v>59</v>
      </c>
      <c r="D8" s="3" t="s">
        <v>29</v>
      </c>
      <c r="E8" s="2" t="s">
        <v>60</v>
      </c>
      <c r="F8" s="2" t="n">
        <v>48</v>
      </c>
      <c r="G8" s="2" t="n">
        <v>330</v>
      </c>
      <c r="H8" s="2" t="s">
        <v>45</v>
      </c>
      <c r="I8" s="2" t="s">
        <v>46</v>
      </c>
      <c r="J8" s="2" t="s">
        <v>47</v>
      </c>
      <c r="K8" s="2"/>
      <c r="L8" s="2" t="s">
        <v>61</v>
      </c>
      <c r="M8" s="2" t="s">
        <v>52</v>
      </c>
      <c r="N8" s="2" t="s">
        <v>36</v>
      </c>
      <c r="O8" s="2" t="s">
        <v>37</v>
      </c>
      <c r="P8" s="2" t="n">
        <v>8</v>
      </c>
      <c r="Q8" s="4" t="n">
        <v>2.7</v>
      </c>
      <c r="R8" s="2" t="n">
        <v>6400</v>
      </c>
      <c r="S8" s="2" t="n">
        <v>8000</v>
      </c>
      <c r="T8" s="4" t="n">
        <f aca="false">P8*R8*Assumptions!$B$10/1000</f>
        <v>409.6</v>
      </c>
      <c r="U8" s="4" t="n">
        <f aca="false">IF(ISNUMBER(S8),P8*S8*Assumptions!$B$10/1000,"N/A")</f>
        <v>512</v>
      </c>
      <c r="V8" s="5" t="n">
        <f aca="false">F8*Q8*IF(N8="E-core (Sierra Forest)",Assumptions!$B$8,Assumptions!$B$4)/1000</f>
        <v>4.1472</v>
      </c>
      <c r="W8" s="5" t="n">
        <f aca="false">F8*Q8*IF(N8="E-core (Sierra Forest)",Assumptions!$B$9,Assumptions!$B$5)/1000</f>
        <v>8.2944</v>
      </c>
      <c r="X8" s="4" t="n">
        <f aca="false">IF(N8="E-core (Sierra Forest)","N/A (no AMX)",F8*Q8*Assumptions!$B$6/1000)</f>
        <v>132.7104</v>
      </c>
      <c r="Y8" s="4" t="n">
        <f aca="false">IF(N8="E-core (Sierra Forest)","N/A (no AMX)",F8*Q8*Assumptions!$B$7/1000)</f>
        <v>265.4208</v>
      </c>
      <c r="Z8" s="2" t="s">
        <v>38</v>
      </c>
    </row>
    <row r="9" customFormat="false" ht="32.8" hidden="false" customHeight="false" outlineLevel="0" collapsed="false">
      <c r="A9" s="2" t="s">
        <v>26</v>
      </c>
      <c r="B9" s="2" t="s">
        <v>49</v>
      </c>
      <c r="C9" s="2" t="s">
        <v>59</v>
      </c>
      <c r="D9" s="6" t="s">
        <v>39</v>
      </c>
      <c r="E9" s="2" t="s">
        <v>62</v>
      </c>
      <c r="F9" s="2" t="n">
        <v>64</v>
      </c>
      <c r="G9" s="2" t="n">
        <v>350</v>
      </c>
      <c r="H9" s="2" t="s">
        <v>63</v>
      </c>
      <c r="I9" s="2" t="s">
        <v>31</v>
      </c>
      <c r="J9" s="2" t="s">
        <v>47</v>
      </c>
      <c r="K9" s="2"/>
      <c r="L9" s="2" t="s">
        <v>61</v>
      </c>
      <c r="M9" s="2" t="s">
        <v>52</v>
      </c>
      <c r="N9" s="2" t="s">
        <v>36</v>
      </c>
      <c r="O9" s="2" t="s">
        <v>37</v>
      </c>
      <c r="P9" s="2" t="n">
        <v>8</v>
      </c>
      <c r="Q9" s="4" t="n">
        <v>2.6</v>
      </c>
      <c r="R9" s="2" t="n">
        <v>6400</v>
      </c>
      <c r="S9" s="2" t="n">
        <v>8000</v>
      </c>
      <c r="T9" s="4" t="n">
        <f aca="false">P9*R9*Assumptions!$B$10/1000</f>
        <v>409.6</v>
      </c>
      <c r="U9" s="4" t="n">
        <f aca="false">IF(ISNUMBER(S9),P9*S9*Assumptions!$B$10/1000,"N/A")</f>
        <v>512</v>
      </c>
      <c r="V9" s="5" t="n">
        <f aca="false">F9*Q9*IF(N9="E-core (Sierra Forest)",Assumptions!$B$8,Assumptions!$B$4)/1000</f>
        <v>5.3248</v>
      </c>
      <c r="W9" s="5" t="n">
        <f aca="false">F9*Q9*IF(N9="E-core (Sierra Forest)",Assumptions!$B$9,Assumptions!$B$5)/1000</f>
        <v>10.6496</v>
      </c>
      <c r="X9" s="4" t="n">
        <f aca="false">IF(N9="E-core (Sierra Forest)","N/A (no AMX)",F9*Q9*Assumptions!$B$6/1000)</f>
        <v>170.3936</v>
      </c>
      <c r="Y9" s="4" t="n">
        <f aca="false">IF(N9="E-core (Sierra Forest)","N/A (no AMX)",F9*Q9*Assumptions!$B$7/1000)</f>
        <v>340.7872</v>
      </c>
      <c r="Z9" s="2" t="s">
        <v>38</v>
      </c>
    </row>
    <row r="10" customFormat="false" ht="32.8" hidden="false" customHeight="false" outlineLevel="0" collapsed="false">
      <c r="A10" s="2" t="s">
        <v>26</v>
      </c>
      <c r="B10" s="2" t="s">
        <v>49</v>
      </c>
      <c r="C10" s="2" t="s">
        <v>59</v>
      </c>
      <c r="D10" s="7" t="s">
        <v>43</v>
      </c>
      <c r="E10" s="2" t="s">
        <v>64</v>
      </c>
      <c r="F10" s="2" t="n">
        <v>86</v>
      </c>
      <c r="G10" s="2" t="n">
        <v>350</v>
      </c>
      <c r="H10" s="2" t="s">
        <v>57</v>
      </c>
      <c r="I10" s="2" t="s">
        <v>58</v>
      </c>
      <c r="J10" s="2" t="s">
        <v>46</v>
      </c>
      <c r="K10" s="2"/>
      <c r="L10" s="2" t="s">
        <v>61</v>
      </c>
      <c r="M10" s="2" t="s">
        <v>52</v>
      </c>
      <c r="N10" s="2" t="s">
        <v>36</v>
      </c>
      <c r="O10" s="2" t="s">
        <v>37</v>
      </c>
      <c r="P10" s="2" t="n">
        <v>8</v>
      </c>
      <c r="Q10" s="4" t="n">
        <v>2</v>
      </c>
      <c r="R10" s="2" t="n">
        <v>6400</v>
      </c>
      <c r="S10" s="2" t="n">
        <v>8000</v>
      </c>
      <c r="T10" s="4" t="n">
        <f aca="false">P10*R10*Assumptions!$B$10/1000</f>
        <v>409.6</v>
      </c>
      <c r="U10" s="4" t="n">
        <f aca="false">IF(ISNUMBER(S10),P10*S10*Assumptions!$B$10/1000,"N/A")</f>
        <v>512</v>
      </c>
      <c r="V10" s="5" t="n">
        <f aca="false">F10*Q10*IF(N10="E-core (Sierra Forest)",Assumptions!$B$8,Assumptions!$B$4)/1000</f>
        <v>5.504</v>
      </c>
      <c r="W10" s="5" t="n">
        <f aca="false">F10*Q10*IF(N10="E-core (Sierra Forest)",Assumptions!$B$9,Assumptions!$B$5)/1000</f>
        <v>11.008</v>
      </c>
      <c r="X10" s="4" t="n">
        <f aca="false">IF(N10="E-core (Sierra Forest)","N/A (no AMX)",F10*Q10*Assumptions!$B$6/1000)</f>
        <v>176.128</v>
      </c>
      <c r="Y10" s="4" t="n">
        <f aca="false">IF(N10="E-core (Sierra Forest)","N/A (no AMX)",F10*Q10*Assumptions!$B$7/1000)</f>
        <v>352.256</v>
      </c>
      <c r="Z10" s="2" t="s">
        <v>38</v>
      </c>
    </row>
    <row r="11" customFormat="false" ht="32.8" hidden="false" customHeight="false" outlineLevel="0" collapsed="false">
      <c r="A11" s="2" t="s">
        <v>26</v>
      </c>
      <c r="B11" s="2" t="s">
        <v>65</v>
      </c>
      <c r="C11" s="2" t="s">
        <v>66</v>
      </c>
      <c r="D11" s="3" t="s">
        <v>29</v>
      </c>
      <c r="E11" s="2" t="s">
        <v>44</v>
      </c>
      <c r="F11" s="2" t="n">
        <v>72</v>
      </c>
      <c r="G11" s="2" t="n">
        <v>500</v>
      </c>
      <c r="H11" s="2" t="s">
        <v>45</v>
      </c>
      <c r="I11" s="2" t="s">
        <v>46</v>
      </c>
      <c r="J11" s="2" t="s">
        <v>47</v>
      </c>
      <c r="K11" s="2"/>
      <c r="L11" s="2" t="s">
        <v>67</v>
      </c>
      <c r="M11" s="2" t="s">
        <v>52</v>
      </c>
      <c r="N11" s="2" t="s">
        <v>36</v>
      </c>
      <c r="O11" s="2" t="s">
        <v>48</v>
      </c>
      <c r="P11" s="2" t="n">
        <v>12</v>
      </c>
      <c r="Q11" s="4" t="n">
        <v>2.7</v>
      </c>
      <c r="R11" s="2" t="n">
        <v>6400</v>
      </c>
      <c r="S11" s="2" t="n">
        <v>8800</v>
      </c>
      <c r="T11" s="4" t="n">
        <f aca="false">P11*R11*Assumptions!$B$10/1000</f>
        <v>614.4</v>
      </c>
      <c r="U11" s="4" t="n">
        <f aca="false">IF(ISNUMBER(S11),P11*S11*Assumptions!$B$10/1000,"N/A")</f>
        <v>844.8</v>
      </c>
      <c r="V11" s="5" t="n">
        <f aca="false">F11*Q11*IF(N11="E-core (Sierra Forest)",Assumptions!$B$8,Assumptions!$B$4)/1000</f>
        <v>6.2208</v>
      </c>
      <c r="W11" s="5" t="n">
        <f aca="false">F11*Q11*IF(N11="E-core (Sierra Forest)",Assumptions!$B$9,Assumptions!$B$5)/1000</f>
        <v>12.4416</v>
      </c>
      <c r="X11" s="4" t="n">
        <f aca="false">IF(N11="E-core (Sierra Forest)","N/A (no AMX)",F11*Q11*Assumptions!$B$6/1000)</f>
        <v>199.0656</v>
      </c>
      <c r="Y11" s="4" t="n">
        <f aca="false">IF(N11="E-core (Sierra Forest)","N/A (no AMX)",F11*Q11*Assumptions!$B$7/1000)</f>
        <v>398.1312</v>
      </c>
      <c r="Z11" s="2" t="s">
        <v>38</v>
      </c>
    </row>
    <row r="12" customFormat="false" ht="32.8" hidden="false" customHeight="false" outlineLevel="0" collapsed="false">
      <c r="A12" s="2" t="s">
        <v>26</v>
      </c>
      <c r="B12" s="2" t="s">
        <v>65</v>
      </c>
      <c r="C12" s="2" t="s">
        <v>66</v>
      </c>
      <c r="D12" s="6" t="s">
        <v>39</v>
      </c>
      <c r="E12" s="2" t="s">
        <v>53</v>
      </c>
      <c r="F12" s="2" t="n">
        <v>96</v>
      </c>
      <c r="G12" s="2" t="n">
        <v>500</v>
      </c>
      <c r="H12" s="2" t="s">
        <v>54</v>
      </c>
      <c r="I12" s="2" t="s">
        <v>55</v>
      </c>
      <c r="J12" s="2" t="s">
        <v>47</v>
      </c>
      <c r="K12" s="2"/>
      <c r="L12" s="2" t="s">
        <v>67</v>
      </c>
      <c r="M12" s="2" t="s">
        <v>52</v>
      </c>
      <c r="N12" s="2" t="s">
        <v>36</v>
      </c>
      <c r="O12" s="2" t="s">
        <v>48</v>
      </c>
      <c r="P12" s="2" t="n">
        <v>12</v>
      </c>
      <c r="Q12" s="4" t="n">
        <v>2.4</v>
      </c>
      <c r="R12" s="2" t="n">
        <v>6400</v>
      </c>
      <c r="S12" s="2" t="n">
        <v>8800</v>
      </c>
      <c r="T12" s="4" t="n">
        <f aca="false">P12*R12*Assumptions!$B$10/1000</f>
        <v>614.4</v>
      </c>
      <c r="U12" s="4" t="n">
        <f aca="false">IF(ISNUMBER(S12),P12*S12*Assumptions!$B$10/1000,"N/A")</f>
        <v>844.8</v>
      </c>
      <c r="V12" s="5" t="n">
        <f aca="false">F12*Q12*IF(N12="E-core (Sierra Forest)",Assumptions!$B$8,Assumptions!$B$4)/1000</f>
        <v>7.3728</v>
      </c>
      <c r="W12" s="5" t="n">
        <f aca="false">F12*Q12*IF(N12="E-core (Sierra Forest)",Assumptions!$B$9,Assumptions!$B$5)/1000</f>
        <v>14.7456</v>
      </c>
      <c r="X12" s="4" t="n">
        <f aca="false">IF(N12="E-core (Sierra Forest)","N/A (no AMX)",F12*Q12*Assumptions!$B$6/1000)</f>
        <v>235.9296</v>
      </c>
      <c r="Y12" s="4" t="n">
        <f aca="false">IF(N12="E-core (Sierra Forest)","N/A (no AMX)",F12*Q12*Assumptions!$B$7/1000)</f>
        <v>471.8592</v>
      </c>
      <c r="Z12" s="2" t="s">
        <v>38</v>
      </c>
    </row>
    <row r="13" customFormat="false" ht="32.8" hidden="false" customHeight="false" outlineLevel="0" collapsed="false">
      <c r="A13" s="2" t="s">
        <v>26</v>
      </c>
      <c r="B13" s="2" t="s">
        <v>65</v>
      </c>
      <c r="C13" s="2" t="s">
        <v>66</v>
      </c>
      <c r="D13" s="7" t="s">
        <v>43</v>
      </c>
      <c r="E13" s="2" t="s">
        <v>56</v>
      </c>
      <c r="F13" s="2" t="n">
        <v>128</v>
      </c>
      <c r="G13" s="2" t="n">
        <v>500</v>
      </c>
      <c r="H13" s="2" t="s">
        <v>57</v>
      </c>
      <c r="I13" s="2" t="s">
        <v>58</v>
      </c>
      <c r="J13" s="2" t="s">
        <v>47</v>
      </c>
      <c r="K13" s="2"/>
      <c r="L13" s="2" t="s">
        <v>67</v>
      </c>
      <c r="M13" s="2" t="s">
        <v>52</v>
      </c>
      <c r="N13" s="2" t="s">
        <v>36</v>
      </c>
      <c r="O13" s="2" t="s">
        <v>48</v>
      </c>
      <c r="P13" s="2" t="n">
        <v>12</v>
      </c>
      <c r="Q13" s="4" t="n">
        <v>2</v>
      </c>
      <c r="R13" s="2" t="n">
        <v>6400</v>
      </c>
      <c r="S13" s="2" t="n">
        <v>8800</v>
      </c>
      <c r="T13" s="4" t="n">
        <f aca="false">P13*R13*Assumptions!$B$10/1000</f>
        <v>614.4</v>
      </c>
      <c r="U13" s="4" t="n">
        <f aca="false">IF(ISNUMBER(S13),P13*S13*Assumptions!$B$10/1000,"N/A")</f>
        <v>844.8</v>
      </c>
      <c r="V13" s="5" t="n">
        <f aca="false">F13*Q13*IF(N13="E-core (Sierra Forest)",Assumptions!$B$8,Assumptions!$B$4)/1000</f>
        <v>8.192</v>
      </c>
      <c r="W13" s="5" t="n">
        <f aca="false">F13*Q13*IF(N13="E-core (Sierra Forest)",Assumptions!$B$9,Assumptions!$B$5)/1000</f>
        <v>16.384</v>
      </c>
      <c r="X13" s="4" t="n">
        <f aca="false">IF(N13="E-core (Sierra Forest)","N/A (no AMX)",F13*Q13*Assumptions!$B$6/1000)</f>
        <v>262.144</v>
      </c>
      <c r="Y13" s="4" t="n">
        <f aca="false">IF(N13="E-core (Sierra Forest)","N/A (no AMX)",F13*Q13*Assumptions!$B$7/1000)</f>
        <v>524.288</v>
      </c>
      <c r="Z13" s="2" t="s">
        <v>38</v>
      </c>
    </row>
    <row r="14" customFormat="false" ht="32.8" hidden="false" customHeight="false" outlineLevel="0" collapsed="false">
      <c r="A14" s="2" t="s">
        <v>26</v>
      </c>
      <c r="B14" s="2" t="s">
        <v>65</v>
      </c>
      <c r="C14" s="2" t="s">
        <v>68</v>
      </c>
      <c r="D14" s="3" t="s">
        <v>29</v>
      </c>
      <c r="E14" s="2" t="s">
        <v>60</v>
      </c>
      <c r="F14" s="2" t="n">
        <v>48</v>
      </c>
      <c r="G14" s="2" t="n">
        <v>330</v>
      </c>
      <c r="H14" s="2" t="s">
        <v>45</v>
      </c>
      <c r="I14" s="2" t="s">
        <v>46</v>
      </c>
      <c r="J14" s="2" t="s">
        <v>47</v>
      </c>
      <c r="K14" s="2"/>
      <c r="L14" s="2" t="s">
        <v>69</v>
      </c>
      <c r="M14" s="2" t="s">
        <v>52</v>
      </c>
      <c r="N14" s="2" t="s">
        <v>36</v>
      </c>
      <c r="O14" s="2" t="s">
        <v>37</v>
      </c>
      <c r="P14" s="2" t="n">
        <v>8</v>
      </c>
      <c r="Q14" s="4" t="n">
        <v>2.7</v>
      </c>
      <c r="R14" s="2" t="n">
        <v>6400</v>
      </c>
      <c r="S14" s="2" t="n">
        <v>8000</v>
      </c>
      <c r="T14" s="4" t="n">
        <f aca="false">P14*R14*Assumptions!$B$10/1000</f>
        <v>409.6</v>
      </c>
      <c r="U14" s="4" t="n">
        <f aca="false">IF(ISNUMBER(S14),P14*S14*Assumptions!$B$10/1000,"N/A")</f>
        <v>512</v>
      </c>
      <c r="V14" s="5" t="n">
        <f aca="false">F14*Q14*IF(N14="E-core (Sierra Forest)",Assumptions!$B$8,Assumptions!$B$4)/1000</f>
        <v>4.1472</v>
      </c>
      <c r="W14" s="5" t="n">
        <f aca="false">F14*Q14*IF(N14="E-core (Sierra Forest)",Assumptions!$B$9,Assumptions!$B$5)/1000</f>
        <v>8.2944</v>
      </c>
      <c r="X14" s="4" t="n">
        <f aca="false">IF(N14="E-core (Sierra Forest)","N/A (no AMX)",F14*Q14*Assumptions!$B$6/1000)</f>
        <v>132.7104</v>
      </c>
      <c r="Y14" s="4" t="n">
        <f aca="false">IF(N14="E-core (Sierra Forest)","N/A (no AMX)",F14*Q14*Assumptions!$B$7/1000)</f>
        <v>265.4208</v>
      </c>
      <c r="Z14" s="2" t="s">
        <v>38</v>
      </c>
    </row>
    <row r="15" customFormat="false" ht="32.8" hidden="false" customHeight="false" outlineLevel="0" collapsed="false">
      <c r="A15" s="2" t="s">
        <v>26</v>
      </c>
      <c r="B15" s="2" t="s">
        <v>65</v>
      </c>
      <c r="C15" s="2" t="s">
        <v>68</v>
      </c>
      <c r="D15" s="6" t="s">
        <v>39</v>
      </c>
      <c r="E15" s="2" t="s">
        <v>62</v>
      </c>
      <c r="F15" s="2" t="n">
        <v>64</v>
      </c>
      <c r="G15" s="2" t="n">
        <v>350</v>
      </c>
      <c r="H15" s="2" t="s">
        <v>63</v>
      </c>
      <c r="I15" s="2" t="s">
        <v>31</v>
      </c>
      <c r="J15" s="2" t="s">
        <v>47</v>
      </c>
      <c r="K15" s="2"/>
      <c r="L15" s="2" t="s">
        <v>69</v>
      </c>
      <c r="M15" s="2" t="s">
        <v>52</v>
      </c>
      <c r="N15" s="2" t="s">
        <v>36</v>
      </c>
      <c r="O15" s="2" t="s">
        <v>37</v>
      </c>
      <c r="P15" s="2" t="n">
        <v>8</v>
      </c>
      <c r="Q15" s="4" t="n">
        <v>2.6</v>
      </c>
      <c r="R15" s="2" t="n">
        <v>6400</v>
      </c>
      <c r="S15" s="2" t="n">
        <v>8000</v>
      </c>
      <c r="T15" s="4" t="n">
        <f aca="false">P15*R15*Assumptions!$B$10/1000</f>
        <v>409.6</v>
      </c>
      <c r="U15" s="4" t="n">
        <f aca="false">IF(ISNUMBER(S15),P15*S15*Assumptions!$B$10/1000,"N/A")</f>
        <v>512</v>
      </c>
      <c r="V15" s="5" t="n">
        <f aca="false">F15*Q15*IF(N15="E-core (Sierra Forest)",Assumptions!$B$8,Assumptions!$B$4)/1000</f>
        <v>5.3248</v>
      </c>
      <c r="W15" s="5" t="n">
        <f aca="false">F15*Q15*IF(N15="E-core (Sierra Forest)",Assumptions!$B$9,Assumptions!$B$5)/1000</f>
        <v>10.6496</v>
      </c>
      <c r="X15" s="4" t="n">
        <f aca="false">IF(N15="E-core (Sierra Forest)","N/A (no AMX)",F15*Q15*Assumptions!$B$6/1000)</f>
        <v>170.3936</v>
      </c>
      <c r="Y15" s="4" t="n">
        <f aca="false">IF(N15="E-core (Sierra Forest)","N/A (no AMX)",F15*Q15*Assumptions!$B$7/1000)</f>
        <v>340.7872</v>
      </c>
      <c r="Z15" s="2" t="s">
        <v>38</v>
      </c>
    </row>
    <row r="16" customFormat="false" ht="32.8" hidden="false" customHeight="false" outlineLevel="0" collapsed="false">
      <c r="A16" s="2" t="s">
        <v>26</v>
      </c>
      <c r="B16" s="2" t="s">
        <v>65</v>
      </c>
      <c r="C16" s="2" t="s">
        <v>68</v>
      </c>
      <c r="D16" s="7" t="s">
        <v>43</v>
      </c>
      <c r="E16" s="2" t="s">
        <v>64</v>
      </c>
      <c r="F16" s="2" t="n">
        <v>86</v>
      </c>
      <c r="G16" s="2" t="n">
        <v>350</v>
      </c>
      <c r="H16" s="2" t="s">
        <v>57</v>
      </c>
      <c r="I16" s="2" t="s">
        <v>58</v>
      </c>
      <c r="J16" s="2" t="s">
        <v>46</v>
      </c>
      <c r="K16" s="2"/>
      <c r="L16" s="2" t="s">
        <v>69</v>
      </c>
      <c r="M16" s="2" t="s">
        <v>52</v>
      </c>
      <c r="N16" s="2" t="s">
        <v>36</v>
      </c>
      <c r="O16" s="2" t="s">
        <v>37</v>
      </c>
      <c r="P16" s="2" t="n">
        <v>8</v>
      </c>
      <c r="Q16" s="4" t="n">
        <v>2</v>
      </c>
      <c r="R16" s="2" t="n">
        <v>6400</v>
      </c>
      <c r="S16" s="2" t="n">
        <v>8000</v>
      </c>
      <c r="T16" s="4" t="n">
        <f aca="false">P16*R16*Assumptions!$B$10/1000</f>
        <v>409.6</v>
      </c>
      <c r="U16" s="4" t="n">
        <f aca="false">IF(ISNUMBER(S16),P16*S16*Assumptions!$B$10/1000,"N/A")</f>
        <v>512</v>
      </c>
      <c r="V16" s="5" t="n">
        <f aca="false">F16*Q16*IF(N16="E-core (Sierra Forest)",Assumptions!$B$8,Assumptions!$B$4)/1000</f>
        <v>5.504</v>
      </c>
      <c r="W16" s="5" t="n">
        <f aca="false">F16*Q16*IF(N16="E-core (Sierra Forest)",Assumptions!$B$9,Assumptions!$B$5)/1000</f>
        <v>11.008</v>
      </c>
      <c r="X16" s="4" t="n">
        <f aca="false">IF(N16="E-core (Sierra Forest)","N/A (no AMX)",F16*Q16*Assumptions!$B$6/1000)</f>
        <v>176.128</v>
      </c>
      <c r="Y16" s="4" t="n">
        <f aca="false">IF(N16="E-core (Sierra Forest)","N/A (no AMX)",F16*Q16*Assumptions!$B$7/1000)</f>
        <v>352.256</v>
      </c>
      <c r="Z16" s="2" t="s">
        <v>38</v>
      </c>
    </row>
    <row r="17" customFormat="false" ht="43.25" hidden="false" customHeight="false" outlineLevel="0" collapsed="false">
      <c r="A17" s="2" t="s">
        <v>26</v>
      </c>
      <c r="B17" s="2" t="s">
        <v>70</v>
      </c>
      <c r="C17" s="2" t="s">
        <v>71</v>
      </c>
      <c r="D17" s="3" t="s">
        <v>29</v>
      </c>
      <c r="E17" s="2" t="s">
        <v>72</v>
      </c>
      <c r="F17" s="2" t="n">
        <v>48</v>
      </c>
      <c r="G17" s="2" t="n">
        <v>330</v>
      </c>
      <c r="H17" s="2" t="s">
        <v>45</v>
      </c>
      <c r="I17" s="2" t="s">
        <v>46</v>
      </c>
      <c r="J17" s="2" t="s">
        <v>47</v>
      </c>
      <c r="K17" s="2"/>
      <c r="L17" s="2" t="s">
        <v>73</v>
      </c>
      <c r="M17" s="2" t="s">
        <v>74</v>
      </c>
      <c r="N17" s="2" t="s">
        <v>36</v>
      </c>
      <c r="O17" s="2" t="s">
        <v>37</v>
      </c>
      <c r="P17" s="2" t="n">
        <v>8</v>
      </c>
      <c r="Q17" s="4" t="n">
        <v>2.7</v>
      </c>
      <c r="R17" s="2" t="n">
        <v>6400</v>
      </c>
      <c r="S17" s="2" t="n">
        <v>8000</v>
      </c>
      <c r="T17" s="4" t="n">
        <f aca="false">P17*R17*Assumptions!$B$10/1000</f>
        <v>409.6</v>
      </c>
      <c r="U17" s="4" t="n">
        <f aca="false">IF(ISNUMBER(S17),P17*S17*Assumptions!$B$10/1000,"N/A")</f>
        <v>512</v>
      </c>
      <c r="V17" s="5" t="n">
        <f aca="false">F17*Q17*IF(N17="E-core (Sierra Forest)",Assumptions!$B$8,Assumptions!$B$4)/1000</f>
        <v>4.1472</v>
      </c>
      <c r="W17" s="5" t="n">
        <f aca="false">F17*Q17*IF(N17="E-core (Sierra Forest)",Assumptions!$B$9,Assumptions!$B$5)/1000</f>
        <v>8.2944</v>
      </c>
      <c r="X17" s="4" t="n">
        <f aca="false">IF(N17="E-core (Sierra Forest)","N/A (no AMX)",F17*Q17*Assumptions!$B$6/1000)</f>
        <v>132.7104</v>
      </c>
      <c r="Y17" s="4" t="n">
        <f aca="false">IF(N17="E-core (Sierra Forest)","N/A (no AMX)",F17*Q17*Assumptions!$B$7/1000)</f>
        <v>265.4208</v>
      </c>
      <c r="Z17" s="2" t="s">
        <v>38</v>
      </c>
    </row>
    <row r="18" customFormat="false" ht="43.25" hidden="false" customHeight="false" outlineLevel="0" collapsed="false">
      <c r="A18" s="2" t="s">
        <v>26</v>
      </c>
      <c r="B18" s="2" t="s">
        <v>70</v>
      </c>
      <c r="C18" s="2" t="s">
        <v>71</v>
      </c>
      <c r="D18" s="6" t="s">
        <v>39</v>
      </c>
      <c r="E18" s="2" t="s">
        <v>75</v>
      </c>
      <c r="F18" s="2" t="n">
        <v>86</v>
      </c>
      <c r="G18" s="2" t="n">
        <v>350</v>
      </c>
      <c r="H18" s="2" t="s">
        <v>57</v>
      </c>
      <c r="I18" s="2" t="s">
        <v>58</v>
      </c>
      <c r="J18" s="2" t="s">
        <v>46</v>
      </c>
      <c r="K18" s="2"/>
      <c r="L18" s="2" t="s">
        <v>73</v>
      </c>
      <c r="M18" s="2" t="s">
        <v>74</v>
      </c>
      <c r="N18" s="2" t="s">
        <v>36</v>
      </c>
      <c r="O18" s="2" t="s">
        <v>37</v>
      </c>
      <c r="P18" s="2" t="n">
        <v>8</v>
      </c>
      <c r="Q18" s="4" t="n">
        <v>2</v>
      </c>
      <c r="R18" s="2" t="n">
        <v>6400</v>
      </c>
      <c r="S18" s="2" t="n">
        <v>8000</v>
      </c>
      <c r="T18" s="4" t="n">
        <f aca="false">P18*R18*Assumptions!$B$10/1000</f>
        <v>409.6</v>
      </c>
      <c r="U18" s="4" t="n">
        <f aca="false">IF(ISNUMBER(S18),P18*S18*Assumptions!$B$10/1000,"N/A")</f>
        <v>512</v>
      </c>
      <c r="V18" s="5" t="n">
        <f aca="false">F18*Q18*IF(N18="E-core (Sierra Forest)",Assumptions!$B$8,Assumptions!$B$4)/1000</f>
        <v>5.504</v>
      </c>
      <c r="W18" s="5" t="n">
        <f aca="false">F18*Q18*IF(N18="E-core (Sierra Forest)",Assumptions!$B$9,Assumptions!$B$5)/1000</f>
        <v>11.008</v>
      </c>
      <c r="X18" s="4" t="n">
        <f aca="false">IF(N18="E-core (Sierra Forest)","N/A (no AMX)",F18*Q18*Assumptions!$B$6/1000)</f>
        <v>176.128</v>
      </c>
      <c r="Y18" s="4" t="n">
        <f aca="false">IF(N18="E-core (Sierra Forest)","N/A (no AMX)",F18*Q18*Assumptions!$B$7/1000)</f>
        <v>352.256</v>
      </c>
      <c r="Z18" s="2" t="s">
        <v>38</v>
      </c>
    </row>
    <row r="19" customFormat="false" ht="43.25" hidden="false" customHeight="false" outlineLevel="0" collapsed="false">
      <c r="A19" s="2" t="s">
        <v>26</v>
      </c>
      <c r="B19" s="2" t="s">
        <v>70</v>
      </c>
      <c r="C19" s="2" t="s">
        <v>71</v>
      </c>
      <c r="D19" s="7" t="s">
        <v>43</v>
      </c>
      <c r="E19" s="2" t="s">
        <v>76</v>
      </c>
      <c r="F19" s="2" t="n">
        <v>128</v>
      </c>
      <c r="G19" s="2" t="n">
        <v>500</v>
      </c>
      <c r="H19" s="2" t="s">
        <v>57</v>
      </c>
      <c r="I19" s="2" t="s">
        <v>58</v>
      </c>
      <c r="J19" s="2" t="s">
        <v>47</v>
      </c>
      <c r="K19" s="2"/>
      <c r="L19" s="2" t="s">
        <v>73</v>
      </c>
      <c r="M19" s="2" t="s">
        <v>74</v>
      </c>
      <c r="N19" s="2" t="s">
        <v>36</v>
      </c>
      <c r="O19" s="2" t="s">
        <v>48</v>
      </c>
      <c r="P19" s="2" t="n">
        <v>12</v>
      </c>
      <c r="Q19" s="4" t="n">
        <v>2</v>
      </c>
      <c r="R19" s="2" t="n">
        <v>6400</v>
      </c>
      <c r="S19" s="2" t="n">
        <v>8800</v>
      </c>
      <c r="T19" s="4" t="n">
        <f aca="false">P19*R19*Assumptions!$B$10/1000</f>
        <v>614.4</v>
      </c>
      <c r="U19" s="4" t="n">
        <f aca="false">IF(ISNUMBER(S19),P19*S19*Assumptions!$B$10/1000,"N/A")</f>
        <v>844.8</v>
      </c>
      <c r="V19" s="5" t="n">
        <f aca="false">F19*Q19*IF(N19="E-core (Sierra Forest)",Assumptions!$B$8,Assumptions!$B$4)/1000</f>
        <v>8.192</v>
      </c>
      <c r="W19" s="5" t="n">
        <f aca="false">F19*Q19*IF(N19="E-core (Sierra Forest)",Assumptions!$B$9,Assumptions!$B$5)/1000</f>
        <v>16.384</v>
      </c>
      <c r="X19" s="4" t="n">
        <f aca="false">IF(N19="E-core (Sierra Forest)","N/A (no AMX)",F19*Q19*Assumptions!$B$6/1000)</f>
        <v>262.144</v>
      </c>
      <c r="Y19" s="4" t="n">
        <f aca="false">IF(N19="E-core (Sierra Forest)","N/A (no AMX)",F19*Q19*Assumptions!$B$7/1000)</f>
        <v>524.288</v>
      </c>
      <c r="Z19" s="2" t="s">
        <v>38</v>
      </c>
    </row>
    <row r="20" customFormat="false" ht="43.25" hidden="false" customHeight="false" outlineLevel="0" collapsed="false">
      <c r="A20" s="2" t="s">
        <v>26</v>
      </c>
      <c r="B20" s="2" t="s">
        <v>70</v>
      </c>
      <c r="C20" s="2" t="s">
        <v>77</v>
      </c>
      <c r="D20" s="3" t="s">
        <v>29</v>
      </c>
      <c r="E20" s="2" t="s">
        <v>78</v>
      </c>
      <c r="F20" s="2" t="n">
        <v>32</v>
      </c>
      <c r="G20" s="2" t="n">
        <v>270</v>
      </c>
      <c r="H20" s="2" t="s">
        <v>41</v>
      </c>
      <c r="I20" s="2" t="s">
        <v>42</v>
      </c>
      <c r="J20" s="2" t="s">
        <v>42</v>
      </c>
      <c r="K20" s="2"/>
      <c r="L20" s="2" t="s">
        <v>79</v>
      </c>
      <c r="M20" s="2" t="s">
        <v>74</v>
      </c>
      <c r="N20" s="2" t="s">
        <v>36</v>
      </c>
      <c r="O20" s="2" t="s">
        <v>37</v>
      </c>
      <c r="P20" s="2" t="n">
        <v>8</v>
      </c>
      <c r="Q20" s="4" t="n">
        <v>2.9</v>
      </c>
      <c r="R20" s="2" t="n">
        <v>6400</v>
      </c>
      <c r="S20" s="2" t="n">
        <v>8000</v>
      </c>
      <c r="T20" s="4" t="n">
        <f aca="false">P20*R20*Assumptions!$B$10/1000</f>
        <v>409.6</v>
      </c>
      <c r="U20" s="4" t="n">
        <f aca="false">IF(ISNUMBER(S20),P20*S20*Assumptions!$B$10/1000,"N/A")</f>
        <v>512</v>
      </c>
      <c r="V20" s="5" t="n">
        <f aca="false">F20*Q20*IF(N20="E-core (Sierra Forest)",Assumptions!$B$8,Assumptions!$B$4)/1000</f>
        <v>2.9696</v>
      </c>
      <c r="W20" s="5" t="n">
        <f aca="false">F20*Q20*IF(N20="E-core (Sierra Forest)",Assumptions!$B$9,Assumptions!$B$5)/1000</f>
        <v>5.9392</v>
      </c>
      <c r="X20" s="4" t="n">
        <f aca="false">IF(N20="E-core (Sierra Forest)","N/A (no AMX)",F20*Q20*Assumptions!$B$6/1000)</f>
        <v>95.0272</v>
      </c>
      <c r="Y20" s="4" t="n">
        <f aca="false">IF(N20="E-core (Sierra Forest)","N/A (no AMX)",F20*Q20*Assumptions!$B$7/1000)</f>
        <v>190.0544</v>
      </c>
      <c r="Z20" s="2" t="s">
        <v>38</v>
      </c>
    </row>
    <row r="21" customFormat="false" ht="43.25" hidden="false" customHeight="false" outlineLevel="0" collapsed="false">
      <c r="A21" s="2" t="s">
        <v>26</v>
      </c>
      <c r="B21" s="2" t="s">
        <v>70</v>
      </c>
      <c r="C21" s="2" t="s">
        <v>77</v>
      </c>
      <c r="D21" s="6" t="s">
        <v>39</v>
      </c>
      <c r="E21" s="2" t="s">
        <v>80</v>
      </c>
      <c r="F21" s="2" t="n">
        <v>64</v>
      </c>
      <c r="G21" s="2" t="n">
        <v>350</v>
      </c>
      <c r="H21" s="2" t="s">
        <v>63</v>
      </c>
      <c r="I21" s="2" t="s">
        <v>31</v>
      </c>
      <c r="J21" s="2" t="s">
        <v>47</v>
      </c>
      <c r="K21" s="2"/>
      <c r="L21" s="2" t="s">
        <v>79</v>
      </c>
      <c r="M21" s="2" t="s">
        <v>74</v>
      </c>
      <c r="N21" s="2" t="s">
        <v>36</v>
      </c>
      <c r="O21" s="2" t="s">
        <v>37</v>
      </c>
      <c r="P21" s="2" t="n">
        <v>8</v>
      </c>
      <c r="Q21" s="4" t="n">
        <v>2.6</v>
      </c>
      <c r="R21" s="2" t="n">
        <v>6400</v>
      </c>
      <c r="S21" s="2" t="n">
        <v>8000</v>
      </c>
      <c r="T21" s="4" t="n">
        <f aca="false">P21*R21*Assumptions!$B$10/1000</f>
        <v>409.6</v>
      </c>
      <c r="U21" s="4" t="n">
        <f aca="false">IF(ISNUMBER(S21),P21*S21*Assumptions!$B$10/1000,"N/A")</f>
        <v>512</v>
      </c>
      <c r="V21" s="5" t="n">
        <f aca="false">F21*Q21*IF(N21="E-core (Sierra Forest)",Assumptions!$B$8,Assumptions!$B$4)/1000</f>
        <v>5.3248</v>
      </c>
      <c r="W21" s="5" t="n">
        <f aca="false">F21*Q21*IF(N21="E-core (Sierra Forest)",Assumptions!$B$9,Assumptions!$B$5)/1000</f>
        <v>10.6496</v>
      </c>
      <c r="X21" s="4" t="n">
        <f aca="false">IF(N21="E-core (Sierra Forest)","N/A (no AMX)",F21*Q21*Assumptions!$B$6/1000)</f>
        <v>170.3936</v>
      </c>
      <c r="Y21" s="4" t="n">
        <f aca="false">IF(N21="E-core (Sierra Forest)","N/A (no AMX)",F21*Q21*Assumptions!$B$7/1000)</f>
        <v>340.7872</v>
      </c>
      <c r="Z21" s="2" t="s">
        <v>38</v>
      </c>
    </row>
    <row r="22" customFormat="false" ht="43.25" hidden="false" customHeight="false" outlineLevel="0" collapsed="false">
      <c r="A22" s="2" t="s">
        <v>26</v>
      </c>
      <c r="B22" s="2" t="s">
        <v>70</v>
      </c>
      <c r="C22" s="2" t="s">
        <v>77</v>
      </c>
      <c r="D22" s="7" t="s">
        <v>43</v>
      </c>
      <c r="E22" s="2" t="s">
        <v>81</v>
      </c>
      <c r="F22" s="2" t="n">
        <v>96</v>
      </c>
      <c r="G22" s="2" t="n">
        <v>500</v>
      </c>
      <c r="H22" s="2" t="s">
        <v>54</v>
      </c>
      <c r="I22" s="2" t="s">
        <v>55</v>
      </c>
      <c r="J22" s="2" t="s">
        <v>47</v>
      </c>
      <c r="K22" s="2"/>
      <c r="L22" s="2" t="s">
        <v>79</v>
      </c>
      <c r="M22" s="2" t="s">
        <v>74</v>
      </c>
      <c r="N22" s="2" t="s">
        <v>36</v>
      </c>
      <c r="O22" s="2" t="s">
        <v>48</v>
      </c>
      <c r="P22" s="2" t="n">
        <v>12</v>
      </c>
      <c r="Q22" s="4" t="n">
        <v>2.4</v>
      </c>
      <c r="R22" s="2" t="n">
        <v>6400</v>
      </c>
      <c r="S22" s="2" t="n">
        <v>8800</v>
      </c>
      <c r="T22" s="4" t="n">
        <f aca="false">P22*R22*Assumptions!$B$10/1000</f>
        <v>614.4</v>
      </c>
      <c r="U22" s="4" t="n">
        <f aca="false">IF(ISNUMBER(S22),P22*S22*Assumptions!$B$10/1000,"N/A")</f>
        <v>844.8</v>
      </c>
      <c r="V22" s="5" t="n">
        <f aca="false">F22*Q22*IF(N22="E-core (Sierra Forest)",Assumptions!$B$8,Assumptions!$B$4)/1000</f>
        <v>7.3728</v>
      </c>
      <c r="W22" s="5" t="n">
        <f aca="false">F22*Q22*IF(N22="E-core (Sierra Forest)",Assumptions!$B$9,Assumptions!$B$5)/1000</f>
        <v>14.7456</v>
      </c>
      <c r="X22" s="4" t="n">
        <f aca="false">IF(N22="E-core (Sierra Forest)","N/A (no AMX)",F22*Q22*Assumptions!$B$6/1000)</f>
        <v>235.9296</v>
      </c>
      <c r="Y22" s="4" t="n">
        <f aca="false">IF(N22="E-core (Sierra Forest)","N/A (no AMX)",F22*Q22*Assumptions!$B$7/1000)</f>
        <v>471.8592</v>
      </c>
      <c r="Z22" s="2" t="s">
        <v>38</v>
      </c>
    </row>
    <row r="23" customFormat="false" ht="32.8" hidden="false" customHeight="false" outlineLevel="0" collapsed="false">
      <c r="A23" s="2" t="s">
        <v>82</v>
      </c>
      <c r="B23" s="2" t="s">
        <v>83</v>
      </c>
      <c r="C23" s="2" t="s">
        <v>84</v>
      </c>
      <c r="D23" s="3" t="s">
        <v>29</v>
      </c>
      <c r="E23" s="2" t="s">
        <v>60</v>
      </c>
      <c r="F23" s="2" t="n">
        <v>48</v>
      </c>
      <c r="G23" s="2" t="n">
        <v>330</v>
      </c>
      <c r="H23" s="2" t="s">
        <v>45</v>
      </c>
      <c r="I23" s="2" t="s">
        <v>46</v>
      </c>
      <c r="J23" s="2" t="s">
        <v>47</v>
      </c>
      <c r="K23" s="2"/>
      <c r="L23" s="2" t="s">
        <v>85</v>
      </c>
      <c r="M23" s="2" t="s">
        <v>86</v>
      </c>
      <c r="N23" s="2" t="s">
        <v>36</v>
      </c>
      <c r="O23" s="2" t="s">
        <v>37</v>
      </c>
      <c r="P23" s="2" t="n">
        <v>8</v>
      </c>
      <c r="Q23" s="4" t="n">
        <v>2.7</v>
      </c>
      <c r="R23" s="2" t="n">
        <v>6400</v>
      </c>
      <c r="S23" s="2" t="n">
        <v>8000</v>
      </c>
      <c r="T23" s="4" t="n">
        <f aca="false">P23*R23*Assumptions!$B$10/1000</f>
        <v>409.6</v>
      </c>
      <c r="U23" s="4" t="n">
        <f aca="false">IF(ISNUMBER(S23),P23*S23*Assumptions!$B$10/1000,"N/A")</f>
        <v>512</v>
      </c>
      <c r="V23" s="5" t="n">
        <f aca="false">F23*Q23*IF(N23="E-core (Sierra Forest)",Assumptions!$B$8,Assumptions!$B$4)/1000</f>
        <v>4.1472</v>
      </c>
      <c r="W23" s="5" t="n">
        <f aca="false">F23*Q23*IF(N23="E-core (Sierra Forest)",Assumptions!$B$9,Assumptions!$B$5)/1000</f>
        <v>8.2944</v>
      </c>
      <c r="X23" s="4" t="n">
        <f aca="false">IF(N23="E-core (Sierra Forest)","N/A (no AMX)",F23*Q23*Assumptions!$B$6/1000)</f>
        <v>132.7104</v>
      </c>
      <c r="Y23" s="4" t="n">
        <f aca="false">IF(N23="E-core (Sierra Forest)","N/A (no AMX)",F23*Q23*Assumptions!$B$7/1000)</f>
        <v>265.4208</v>
      </c>
      <c r="Z23" s="2" t="s">
        <v>38</v>
      </c>
    </row>
    <row r="24" customFormat="false" ht="32.8" hidden="false" customHeight="false" outlineLevel="0" collapsed="false">
      <c r="A24" s="2" t="s">
        <v>82</v>
      </c>
      <c r="B24" s="2" t="s">
        <v>83</v>
      </c>
      <c r="C24" s="2" t="s">
        <v>84</v>
      </c>
      <c r="D24" s="6" t="s">
        <v>39</v>
      </c>
      <c r="E24" s="2" t="s">
        <v>64</v>
      </c>
      <c r="F24" s="2" t="n">
        <v>86</v>
      </c>
      <c r="G24" s="2" t="n">
        <v>350</v>
      </c>
      <c r="H24" s="2" t="s">
        <v>57</v>
      </c>
      <c r="I24" s="2" t="s">
        <v>58</v>
      </c>
      <c r="J24" s="2" t="s">
        <v>46</v>
      </c>
      <c r="K24" s="2"/>
      <c r="L24" s="2" t="s">
        <v>85</v>
      </c>
      <c r="M24" s="2" t="s">
        <v>86</v>
      </c>
      <c r="N24" s="2" t="s">
        <v>36</v>
      </c>
      <c r="O24" s="2" t="s">
        <v>37</v>
      </c>
      <c r="P24" s="2" t="n">
        <v>8</v>
      </c>
      <c r="Q24" s="4" t="n">
        <v>2</v>
      </c>
      <c r="R24" s="2" t="n">
        <v>6400</v>
      </c>
      <c r="S24" s="2" t="n">
        <v>8000</v>
      </c>
      <c r="T24" s="4" t="n">
        <f aca="false">P24*R24*Assumptions!$B$10/1000</f>
        <v>409.6</v>
      </c>
      <c r="U24" s="4" t="n">
        <f aca="false">IF(ISNUMBER(S24),P24*S24*Assumptions!$B$10/1000,"N/A")</f>
        <v>512</v>
      </c>
      <c r="V24" s="5" t="n">
        <f aca="false">F24*Q24*IF(N24="E-core (Sierra Forest)",Assumptions!$B$8,Assumptions!$B$4)/1000</f>
        <v>5.504</v>
      </c>
      <c r="W24" s="5" t="n">
        <f aca="false">F24*Q24*IF(N24="E-core (Sierra Forest)",Assumptions!$B$9,Assumptions!$B$5)/1000</f>
        <v>11.008</v>
      </c>
      <c r="X24" s="4" t="n">
        <f aca="false">IF(N24="E-core (Sierra Forest)","N/A (no AMX)",F24*Q24*Assumptions!$B$6/1000)</f>
        <v>176.128</v>
      </c>
      <c r="Y24" s="4" t="n">
        <f aca="false">IF(N24="E-core (Sierra Forest)","N/A (no AMX)",F24*Q24*Assumptions!$B$7/1000)</f>
        <v>352.256</v>
      </c>
      <c r="Z24" s="2" t="s">
        <v>38</v>
      </c>
    </row>
    <row r="25" customFormat="false" ht="32.8" hidden="false" customHeight="false" outlineLevel="0" collapsed="false">
      <c r="A25" s="2" t="s">
        <v>82</v>
      </c>
      <c r="B25" s="2" t="s">
        <v>83</v>
      </c>
      <c r="C25" s="2" t="s">
        <v>84</v>
      </c>
      <c r="D25" s="6" t="s">
        <v>39</v>
      </c>
      <c r="E25" s="2" t="s">
        <v>62</v>
      </c>
      <c r="F25" s="2" t="n">
        <v>64</v>
      </c>
      <c r="G25" s="2" t="n">
        <v>350</v>
      </c>
      <c r="H25" s="2" t="s">
        <v>54</v>
      </c>
      <c r="I25" s="2" t="s">
        <v>31</v>
      </c>
      <c r="J25" s="2" t="s">
        <v>47</v>
      </c>
      <c r="K25" s="2"/>
      <c r="L25" s="2" t="s">
        <v>85</v>
      </c>
      <c r="M25" s="2" t="s">
        <v>86</v>
      </c>
      <c r="N25" s="2" t="s">
        <v>36</v>
      </c>
      <c r="O25" s="2" t="s">
        <v>37</v>
      </c>
      <c r="P25" s="2" t="n">
        <v>8</v>
      </c>
      <c r="Q25" s="4" t="n">
        <v>2.4</v>
      </c>
      <c r="R25" s="2" t="n">
        <v>6400</v>
      </c>
      <c r="S25" s="2" t="n">
        <v>8000</v>
      </c>
      <c r="T25" s="4" t="n">
        <f aca="false">P25*R25*Assumptions!$B$10/1000</f>
        <v>409.6</v>
      </c>
      <c r="U25" s="4" t="n">
        <f aca="false">IF(ISNUMBER(S25),P25*S25*Assumptions!$B$10/1000,"N/A")</f>
        <v>512</v>
      </c>
      <c r="V25" s="5" t="n">
        <f aca="false">F25*Q25*IF(N25="E-core (Sierra Forest)",Assumptions!$B$8,Assumptions!$B$4)/1000</f>
        <v>4.9152</v>
      </c>
      <c r="W25" s="5" t="n">
        <f aca="false">F25*Q25*IF(N25="E-core (Sierra Forest)",Assumptions!$B$9,Assumptions!$B$5)/1000</f>
        <v>9.8304</v>
      </c>
      <c r="X25" s="4" t="n">
        <f aca="false">IF(N25="E-core (Sierra Forest)","N/A (no AMX)",F25*Q25*Assumptions!$B$6/1000)</f>
        <v>157.2864</v>
      </c>
      <c r="Y25" s="4" t="n">
        <f aca="false">IF(N25="E-core (Sierra Forest)","N/A (no AMX)",F25*Q25*Assumptions!$B$7/1000)</f>
        <v>314.5728</v>
      </c>
      <c r="Z25" s="2" t="s">
        <v>38</v>
      </c>
    </row>
    <row r="26" customFormat="false" ht="32.8" hidden="false" customHeight="false" outlineLevel="0" collapsed="false">
      <c r="A26" s="2" t="s">
        <v>82</v>
      </c>
      <c r="B26" s="2" t="s">
        <v>83</v>
      </c>
      <c r="C26" s="2" t="s">
        <v>84</v>
      </c>
      <c r="D26" s="7" t="s">
        <v>43</v>
      </c>
      <c r="E26" s="2" t="s">
        <v>56</v>
      </c>
      <c r="F26" s="2" t="n">
        <v>128</v>
      </c>
      <c r="G26" s="2" t="n">
        <v>500</v>
      </c>
      <c r="H26" s="2" t="s">
        <v>57</v>
      </c>
      <c r="I26" s="2" t="s">
        <v>58</v>
      </c>
      <c r="J26" s="2" t="s">
        <v>47</v>
      </c>
      <c r="K26" s="2"/>
      <c r="L26" s="2" t="s">
        <v>85</v>
      </c>
      <c r="M26" s="2" t="s">
        <v>86</v>
      </c>
      <c r="N26" s="2" t="s">
        <v>36</v>
      </c>
      <c r="O26" s="2" t="s">
        <v>48</v>
      </c>
      <c r="P26" s="2" t="n">
        <v>12</v>
      </c>
      <c r="Q26" s="4" t="n">
        <v>2</v>
      </c>
      <c r="R26" s="2" t="n">
        <v>6400</v>
      </c>
      <c r="S26" s="2" t="n">
        <v>8800</v>
      </c>
      <c r="T26" s="4" t="n">
        <f aca="false">P26*R26*Assumptions!$B$10/1000</f>
        <v>614.4</v>
      </c>
      <c r="U26" s="4" t="n">
        <f aca="false">IF(ISNUMBER(S26),P26*S26*Assumptions!$B$10/1000,"N/A")</f>
        <v>844.8</v>
      </c>
      <c r="V26" s="5" t="n">
        <f aca="false">F26*Q26*IF(N26="E-core (Sierra Forest)",Assumptions!$B$8,Assumptions!$B$4)/1000</f>
        <v>8.192</v>
      </c>
      <c r="W26" s="5" t="n">
        <f aca="false">F26*Q26*IF(N26="E-core (Sierra Forest)",Assumptions!$B$9,Assumptions!$B$5)/1000</f>
        <v>16.384</v>
      </c>
      <c r="X26" s="4" t="n">
        <f aca="false">IF(N26="E-core (Sierra Forest)","N/A (no AMX)",F26*Q26*Assumptions!$B$6/1000)</f>
        <v>262.144</v>
      </c>
      <c r="Y26" s="4" t="n">
        <f aca="false">IF(N26="E-core (Sierra Forest)","N/A (no AMX)",F26*Q26*Assumptions!$B$7/1000)</f>
        <v>524.288</v>
      </c>
      <c r="Z26" s="2" t="s">
        <v>38</v>
      </c>
    </row>
    <row r="27" customFormat="false" ht="32.8" hidden="false" customHeight="false" outlineLevel="0" collapsed="false">
      <c r="A27" s="2" t="s">
        <v>82</v>
      </c>
      <c r="B27" s="2" t="s">
        <v>83</v>
      </c>
      <c r="C27" s="2" t="s">
        <v>84</v>
      </c>
      <c r="D27" s="7" t="s">
        <v>43</v>
      </c>
      <c r="E27" s="2" t="s">
        <v>53</v>
      </c>
      <c r="F27" s="2" t="n">
        <v>96</v>
      </c>
      <c r="G27" s="2" t="n">
        <v>500</v>
      </c>
      <c r="H27" s="2" t="s">
        <v>54</v>
      </c>
      <c r="I27" s="2" t="s">
        <v>55</v>
      </c>
      <c r="J27" s="2" t="s">
        <v>46</v>
      </c>
      <c r="K27" s="2"/>
      <c r="L27" s="2" t="s">
        <v>85</v>
      </c>
      <c r="M27" s="2" t="s">
        <v>86</v>
      </c>
      <c r="N27" s="2" t="s">
        <v>36</v>
      </c>
      <c r="O27" s="2" t="s">
        <v>48</v>
      </c>
      <c r="P27" s="2" t="n">
        <v>12</v>
      </c>
      <c r="Q27" s="4" t="n">
        <v>2.4</v>
      </c>
      <c r="R27" s="2" t="n">
        <v>6400</v>
      </c>
      <c r="S27" s="2" t="n">
        <v>8800</v>
      </c>
      <c r="T27" s="4" t="n">
        <f aca="false">P27*R27*Assumptions!$B$10/1000</f>
        <v>614.4</v>
      </c>
      <c r="U27" s="4" t="n">
        <f aca="false">IF(ISNUMBER(S27),P27*S27*Assumptions!$B$10/1000,"N/A")</f>
        <v>844.8</v>
      </c>
      <c r="V27" s="5" t="n">
        <f aca="false">F27*Q27*IF(N27="E-core (Sierra Forest)",Assumptions!$B$8,Assumptions!$B$4)/1000</f>
        <v>7.3728</v>
      </c>
      <c r="W27" s="5" t="n">
        <f aca="false">F27*Q27*IF(N27="E-core (Sierra Forest)",Assumptions!$B$9,Assumptions!$B$5)/1000</f>
        <v>14.7456</v>
      </c>
      <c r="X27" s="4" t="n">
        <f aca="false">IF(N27="E-core (Sierra Forest)","N/A (no AMX)",F27*Q27*Assumptions!$B$6/1000)</f>
        <v>235.9296</v>
      </c>
      <c r="Y27" s="4" t="n">
        <f aca="false">IF(N27="E-core (Sierra Forest)","N/A (no AMX)",F27*Q27*Assumptions!$B$7/1000)</f>
        <v>471.8592</v>
      </c>
      <c r="Z27" s="2" t="s">
        <v>38</v>
      </c>
    </row>
    <row r="28" customFormat="false" ht="53.7" hidden="false" customHeight="false" outlineLevel="0" collapsed="false">
      <c r="A28" s="2" t="s">
        <v>82</v>
      </c>
      <c r="B28" s="2" t="s">
        <v>87</v>
      </c>
      <c r="C28" s="2" t="s">
        <v>88</v>
      </c>
      <c r="D28" s="3" t="s">
        <v>29</v>
      </c>
      <c r="E28" s="2" t="s">
        <v>60</v>
      </c>
      <c r="F28" s="2" t="n">
        <v>48</v>
      </c>
      <c r="G28" s="2" t="n">
        <v>330</v>
      </c>
      <c r="H28" s="2" t="s">
        <v>45</v>
      </c>
      <c r="I28" s="2" t="s">
        <v>46</v>
      </c>
      <c r="J28" s="2" t="s">
        <v>47</v>
      </c>
      <c r="K28" s="2"/>
      <c r="L28" s="2" t="s">
        <v>89</v>
      </c>
      <c r="M28" s="2" t="s">
        <v>90</v>
      </c>
      <c r="N28" s="2" t="s">
        <v>36</v>
      </c>
      <c r="O28" s="2" t="s">
        <v>37</v>
      </c>
      <c r="P28" s="2" t="n">
        <v>8</v>
      </c>
      <c r="Q28" s="4" t="n">
        <v>2.7</v>
      </c>
      <c r="R28" s="2" t="n">
        <v>6400</v>
      </c>
      <c r="S28" s="2" t="n">
        <v>8000</v>
      </c>
      <c r="T28" s="4" t="n">
        <f aca="false">P28*R28*Assumptions!$B$10/1000</f>
        <v>409.6</v>
      </c>
      <c r="U28" s="4" t="n">
        <f aca="false">IF(ISNUMBER(S28),P28*S28*Assumptions!$B$10/1000,"N/A")</f>
        <v>512</v>
      </c>
      <c r="V28" s="5" t="n">
        <f aca="false">F28*Q28*IF(N28="E-core (Sierra Forest)",Assumptions!$B$8,Assumptions!$B$4)/1000</f>
        <v>4.1472</v>
      </c>
      <c r="W28" s="5" t="n">
        <f aca="false">F28*Q28*IF(N28="E-core (Sierra Forest)",Assumptions!$B$9,Assumptions!$B$5)/1000</f>
        <v>8.2944</v>
      </c>
      <c r="X28" s="4" t="n">
        <f aca="false">IF(N28="E-core (Sierra Forest)","N/A (no AMX)",F28*Q28*Assumptions!$B$6/1000)</f>
        <v>132.7104</v>
      </c>
      <c r="Y28" s="4" t="n">
        <f aca="false">IF(N28="E-core (Sierra Forest)","N/A (no AMX)",F28*Q28*Assumptions!$B$7/1000)</f>
        <v>265.4208</v>
      </c>
      <c r="Z28" s="2" t="s">
        <v>38</v>
      </c>
    </row>
    <row r="29" customFormat="false" ht="53.7" hidden="false" customHeight="false" outlineLevel="0" collapsed="false">
      <c r="A29" s="2" t="s">
        <v>82</v>
      </c>
      <c r="B29" s="2" t="s">
        <v>87</v>
      </c>
      <c r="C29" s="2" t="s">
        <v>88</v>
      </c>
      <c r="D29" s="6" t="s">
        <v>39</v>
      </c>
      <c r="E29" s="2" t="s">
        <v>64</v>
      </c>
      <c r="F29" s="2" t="n">
        <v>86</v>
      </c>
      <c r="G29" s="2" t="n">
        <v>350</v>
      </c>
      <c r="H29" s="2" t="s">
        <v>57</v>
      </c>
      <c r="I29" s="2" t="s">
        <v>58</v>
      </c>
      <c r="J29" s="2" t="s">
        <v>46</v>
      </c>
      <c r="K29" s="2"/>
      <c r="L29" s="2" t="s">
        <v>89</v>
      </c>
      <c r="M29" s="2" t="s">
        <v>90</v>
      </c>
      <c r="N29" s="2" t="s">
        <v>36</v>
      </c>
      <c r="O29" s="2" t="s">
        <v>37</v>
      </c>
      <c r="P29" s="2" t="n">
        <v>8</v>
      </c>
      <c r="Q29" s="4" t="n">
        <v>2</v>
      </c>
      <c r="R29" s="2" t="n">
        <v>6400</v>
      </c>
      <c r="S29" s="2" t="n">
        <v>8000</v>
      </c>
      <c r="T29" s="4" t="n">
        <f aca="false">P29*R29*Assumptions!$B$10/1000</f>
        <v>409.6</v>
      </c>
      <c r="U29" s="4" t="n">
        <f aca="false">IF(ISNUMBER(S29),P29*S29*Assumptions!$B$10/1000,"N/A")</f>
        <v>512</v>
      </c>
      <c r="V29" s="5" t="n">
        <f aca="false">F29*Q29*IF(N29="E-core (Sierra Forest)",Assumptions!$B$8,Assumptions!$B$4)/1000</f>
        <v>5.504</v>
      </c>
      <c r="W29" s="5" t="n">
        <f aca="false">F29*Q29*IF(N29="E-core (Sierra Forest)",Assumptions!$B$9,Assumptions!$B$5)/1000</f>
        <v>11.008</v>
      </c>
      <c r="X29" s="4" t="n">
        <f aca="false">IF(N29="E-core (Sierra Forest)","N/A (no AMX)",F29*Q29*Assumptions!$B$6/1000)</f>
        <v>176.128</v>
      </c>
      <c r="Y29" s="4" t="n">
        <f aca="false">IF(N29="E-core (Sierra Forest)","N/A (no AMX)",F29*Q29*Assumptions!$B$7/1000)</f>
        <v>352.256</v>
      </c>
      <c r="Z29" s="2" t="s">
        <v>38</v>
      </c>
    </row>
    <row r="30" customFormat="false" ht="53.7" hidden="false" customHeight="false" outlineLevel="0" collapsed="false">
      <c r="A30" s="2" t="s">
        <v>82</v>
      </c>
      <c r="B30" s="2" t="s">
        <v>87</v>
      </c>
      <c r="C30" s="2" t="s">
        <v>88</v>
      </c>
      <c r="D30" s="6" t="s">
        <v>39</v>
      </c>
      <c r="E30" s="2" t="s">
        <v>62</v>
      </c>
      <c r="F30" s="2" t="n">
        <v>64</v>
      </c>
      <c r="G30" s="2" t="n">
        <v>350</v>
      </c>
      <c r="H30" s="2" t="s">
        <v>54</v>
      </c>
      <c r="I30" s="2" t="s">
        <v>31</v>
      </c>
      <c r="J30" s="2" t="s">
        <v>47</v>
      </c>
      <c r="K30" s="2"/>
      <c r="L30" s="2" t="s">
        <v>89</v>
      </c>
      <c r="M30" s="2" t="s">
        <v>90</v>
      </c>
      <c r="N30" s="2" t="s">
        <v>36</v>
      </c>
      <c r="O30" s="2" t="s">
        <v>37</v>
      </c>
      <c r="P30" s="2" t="n">
        <v>8</v>
      </c>
      <c r="Q30" s="4" t="n">
        <v>2.4</v>
      </c>
      <c r="R30" s="2" t="n">
        <v>6400</v>
      </c>
      <c r="S30" s="2" t="n">
        <v>8000</v>
      </c>
      <c r="T30" s="4" t="n">
        <f aca="false">P30*R30*Assumptions!$B$10/1000</f>
        <v>409.6</v>
      </c>
      <c r="U30" s="4" t="n">
        <f aca="false">IF(ISNUMBER(S30),P30*S30*Assumptions!$B$10/1000,"N/A")</f>
        <v>512</v>
      </c>
      <c r="V30" s="5" t="n">
        <f aca="false">F30*Q30*IF(N30="E-core (Sierra Forest)",Assumptions!$B$8,Assumptions!$B$4)/1000</f>
        <v>4.9152</v>
      </c>
      <c r="W30" s="5" t="n">
        <f aca="false">F30*Q30*IF(N30="E-core (Sierra Forest)",Assumptions!$B$9,Assumptions!$B$5)/1000</f>
        <v>9.8304</v>
      </c>
      <c r="X30" s="4" t="n">
        <f aca="false">IF(N30="E-core (Sierra Forest)","N/A (no AMX)",F30*Q30*Assumptions!$B$6/1000)</f>
        <v>157.2864</v>
      </c>
      <c r="Y30" s="4" t="n">
        <f aca="false">IF(N30="E-core (Sierra Forest)","N/A (no AMX)",F30*Q30*Assumptions!$B$7/1000)</f>
        <v>314.5728</v>
      </c>
      <c r="Z30" s="2" t="s">
        <v>38</v>
      </c>
    </row>
    <row r="31" customFormat="false" ht="53.7" hidden="false" customHeight="false" outlineLevel="0" collapsed="false">
      <c r="A31" s="2" t="s">
        <v>82</v>
      </c>
      <c r="B31" s="2" t="s">
        <v>87</v>
      </c>
      <c r="C31" s="2" t="s">
        <v>88</v>
      </c>
      <c r="D31" s="7" t="s">
        <v>43</v>
      </c>
      <c r="E31" s="2" t="s">
        <v>56</v>
      </c>
      <c r="F31" s="2" t="n">
        <v>128</v>
      </c>
      <c r="G31" s="2" t="n">
        <v>500</v>
      </c>
      <c r="H31" s="2" t="s">
        <v>57</v>
      </c>
      <c r="I31" s="2" t="s">
        <v>58</v>
      </c>
      <c r="J31" s="2" t="s">
        <v>47</v>
      </c>
      <c r="K31" s="2"/>
      <c r="L31" s="2" t="s">
        <v>89</v>
      </c>
      <c r="M31" s="2" t="s">
        <v>90</v>
      </c>
      <c r="N31" s="2" t="s">
        <v>36</v>
      </c>
      <c r="O31" s="2" t="s">
        <v>48</v>
      </c>
      <c r="P31" s="2" t="n">
        <v>12</v>
      </c>
      <c r="Q31" s="4" t="n">
        <v>2</v>
      </c>
      <c r="R31" s="2" t="n">
        <v>6400</v>
      </c>
      <c r="S31" s="2" t="n">
        <v>8800</v>
      </c>
      <c r="T31" s="4" t="n">
        <f aca="false">P31*R31*Assumptions!$B$10/1000</f>
        <v>614.4</v>
      </c>
      <c r="U31" s="4" t="n">
        <f aca="false">IF(ISNUMBER(S31),P31*S31*Assumptions!$B$10/1000,"N/A")</f>
        <v>844.8</v>
      </c>
      <c r="V31" s="5" t="n">
        <f aca="false">F31*Q31*IF(N31="E-core (Sierra Forest)",Assumptions!$B$8,Assumptions!$B$4)/1000</f>
        <v>8.192</v>
      </c>
      <c r="W31" s="5" t="n">
        <f aca="false">F31*Q31*IF(N31="E-core (Sierra Forest)",Assumptions!$B$9,Assumptions!$B$5)/1000</f>
        <v>16.384</v>
      </c>
      <c r="X31" s="4" t="n">
        <f aca="false">IF(N31="E-core (Sierra Forest)","N/A (no AMX)",F31*Q31*Assumptions!$B$6/1000)</f>
        <v>262.144</v>
      </c>
      <c r="Y31" s="4" t="n">
        <f aca="false">IF(N31="E-core (Sierra Forest)","N/A (no AMX)",F31*Q31*Assumptions!$B$7/1000)</f>
        <v>524.288</v>
      </c>
      <c r="Z31" s="2" t="s">
        <v>38</v>
      </c>
    </row>
    <row r="32" customFormat="false" ht="53.7" hidden="false" customHeight="false" outlineLevel="0" collapsed="false">
      <c r="A32" s="2" t="s">
        <v>82</v>
      </c>
      <c r="B32" s="2" t="s">
        <v>87</v>
      </c>
      <c r="C32" s="2" t="s">
        <v>88</v>
      </c>
      <c r="D32" s="7" t="s">
        <v>43</v>
      </c>
      <c r="E32" s="2" t="s">
        <v>53</v>
      </c>
      <c r="F32" s="2" t="n">
        <v>96</v>
      </c>
      <c r="G32" s="2" t="n">
        <v>500</v>
      </c>
      <c r="H32" s="2" t="s">
        <v>54</v>
      </c>
      <c r="I32" s="2" t="s">
        <v>55</v>
      </c>
      <c r="J32" s="2" t="s">
        <v>46</v>
      </c>
      <c r="K32" s="2"/>
      <c r="L32" s="2" t="s">
        <v>89</v>
      </c>
      <c r="M32" s="2" t="s">
        <v>90</v>
      </c>
      <c r="N32" s="2" t="s">
        <v>36</v>
      </c>
      <c r="O32" s="2" t="s">
        <v>48</v>
      </c>
      <c r="P32" s="2" t="n">
        <v>12</v>
      </c>
      <c r="Q32" s="4" t="n">
        <v>2.4</v>
      </c>
      <c r="R32" s="2" t="n">
        <v>6400</v>
      </c>
      <c r="S32" s="2" t="n">
        <v>8800</v>
      </c>
      <c r="T32" s="4" t="n">
        <f aca="false">P32*R32*Assumptions!$B$10/1000</f>
        <v>614.4</v>
      </c>
      <c r="U32" s="4" t="n">
        <f aca="false">IF(ISNUMBER(S32),P32*S32*Assumptions!$B$10/1000,"N/A")</f>
        <v>844.8</v>
      </c>
      <c r="V32" s="5" t="n">
        <f aca="false">F32*Q32*IF(N32="E-core (Sierra Forest)",Assumptions!$B$8,Assumptions!$B$4)/1000</f>
        <v>7.3728</v>
      </c>
      <c r="W32" s="5" t="n">
        <f aca="false">F32*Q32*IF(N32="E-core (Sierra Forest)",Assumptions!$B$9,Assumptions!$B$5)/1000</f>
        <v>14.7456</v>
      </c>
      <c r="X32" s="4" t="n">
        <f aca="false">IF(N32="E-core (Sierra Forest)","N/A (no AMX)",F32*Q32*Assumptions!$B$6/1000)</f>
        <v>235.9296</v>
      </c>
      <c r="Y32" s="4" t="n">
        <f aca="false">IF(N32="E-core (Sierra Forest)","N/A (no AMX)",F32*Q32*Assumptions!$B$7/1000)</f>
        <v>471.8592</v>
      </c>
      <c r="Z32" s="2" t="s">
        <v>38</v>
      </c>
    </row>
    <row r="33" customFormat="false" ht="53.7" hidden="false" customHeight="false" outlineLevel="0" collapsed="false">
      <c r="A33" s="2" t="s">
        <v>82</v>
      </c>
      <c r="B33" s="2" t="s">
        <v>87</v>
      </c>
      <c r="C33" s="2" t="s">
        <v>88</v>
      </c>
      <c r="D33" s="7" t="s">
        <v>43</v>
      </c>
      <c r="E33" s="2" t="s">
        <v>91</v>
      </c>
      <c r="F33" s="2" t="n">
        <v>72</v>
      </c>
      <c r="G33" s="2" t="n">
        <v>500</v>
      </c>
      <c r="H33" s="2" t="s">
        <v>45</v>
      </c>
      <c r="I33" s="2" t="s">
        <v>46</v>
      </c>
      <c r="J33" s="2" t="s">
        <v>47</v>
      </c>
      <c r="K33" s="2" t="s">
        <v>92</v>
      </c>
      <c r="L33" s="2" t="s">
        <v>89</v>
      </c>
      <c r="M33" s="2" t="s">
        <v>90</v>
      </c>
      <c r="N33" s="2" t="s">
        <v>36</v>
      </c>
      <c r="O33" s="2" t="s">
        <v>48</v>
      </c>
      <c r="P33" s="2" t="n">
        <v>12</v>
      </c>
      <c r="Q33" s="4" t="n">
        <v>2.7</v>
      </c>
      <c r="R33" s="2" t="n">
        <v>6400</v>
      </c>
      <c r="S33" s="2" t="n">
        <v>8800</v>
      </c>
      <c r="T33" s="4" t="n">
        <f aca="false">P33*R33*Assumptions!$B$10/1000</f>
        <v>614.4</v>
      </c>
      <c r="U33" s="4" t="n">
        <f aca="false">IF(ISNUMBER(S33),P33*S33*Assumptions!$B$10/1000,"N/A")</f>
        <v>844.8</v>
      </c>
      <c r="V33" s="5" t="n">
        <f aca="false">F33*Q33*IF(N33="E-core (Sierra Forest)",Assumptions!$B$8,Assumptions!$B$4)/1000</f>
        <v>6.2208</v>
      </c>
      <c r="W33" s="5" t="n">
        <f aca="false">F33*Q33*IF(N33="E-core (Sierra Forest)",Assumptions!$B$9,Assumptions!$B$5)/1000</f>
        <v>12.4416</v>
      </c>
      <c r="X33" s="4" t="n">
        <f aca="false">IF(N33="E-core (Sierra Forest)","N/A (no AMX)",F33*Q33*Assumptions!$B$6/1000)</f>
        <v>199.0656</v>
      </c>
      <c r="Y33" s="4" t="n">
        <f aca="false">IF(N33="E-core (Sierra Forest)","N/A (no AMX)",F33*Q33*Assumptions!$B$7/1000)</f>
        <v>398.1312</v>
      </c>
      <c r="Z33" s="2" t="s">
        <v>38</v>
      </c>
    </row>
    <row r="34" customFormat="false" ht="32.8" hidden="false" customHeight="false" outlineLevel="0" collapsed="false">
      <c r="A34" s="2" t="s">
        <v>82</v>
      </c>
      <c r="B34" s="2" t="s">
        <v>93</v>
      </c>
      <c r="C34" s="2" t="s">
        <v>94</v>
      </c>
      <c r="D34" s="3" t="s">
        <v>29</v>
      </c>
      <c r="E34" s="2" t="s">
        <v>62</v>
      </c>
      <c r="F34" s="2" t="n">
        <v>64</v>
      </c>
      <c r="G34" s="2" t="n">
        <v>350</v>
      </c>
      <c r="H34" s="2" t="s">
        <v>54</v>
      </c>
      <c r="I34" s="2" t="s">
        <v>31</v>
      </c>
      <c r="J34" s="2" t="s">
        <v>47</v>
      </c>
      <c r="K34" s="2"/>
      <c r="L34" s="2" t="s">
        <v>95</v>
      </c>
      <c r="M34" s="2" t="s">
        <v>96</v>
      </c>
      <c r="N34" s="2" t="s">
        <v>36</v>
      </c>
      <c r="O34" s="2" t="s">
        <v>37</v>
      </c>
      <c r="P34" s="2" t="n">
        <v>8</v>
      </c>
      <c r="Q34" s="4" t="n">
        <v>2.4</v>
      </c>
      <c r="R34" s="2" t="n">
        <v>6400</v>
      </c>
      <c r="S34" s="2" t="n">
        <v>8000</v>
      </c>
      <c r="T34" s="4" t="n">
        <f aca="false">P34*R34*Assumptions!$B$10/1000</f>
        <v>409.6</v>
      </c>
      <c r="U34" s="4" t="n">
        <f aca="false">IF(ISNUMBER(S34),P34*S34*Assumptions!$B$10/1000,"N/A")</f>
        <v>512</v>
      </c>
      <c r="V34" s="5" t="n">
        <f aca="false">F34*Q34*IF(N34="E-core (Sierra Forest)",Assumptions!$B$8,Assumptions!$B$4)/1000</f>
        <v>4.9152</v>
      </c>
      <c r="W34" s="5" t="n">
        <f aca="false">F34*Q34*IF(N34="E-core (Sierra Forest)",Assumptions!$B$9,Assumptions!$B$5)/1000</f>
        <v>9.8304</v>
      </c>
      <c r="X34" s="4" t="n">
        <f aca="false">IF(N34="E-core (Sierra Forest)","N/A (no AMX)",F34*Q34*Assumptions!$B$6/1000)</f>
        <v>157.2864</v>
      </c>
      <c r="Y34" s="4" t="n">
        <f aca="false">IF(N34="E-core (Sierra Forest)","N/A (no AMX)",F34*Q34*Assumptions!$B$7/1000)</f>
        <v>314.5728</v>
      </c>
      <c r="Z34" s="2" t="s">
        <v>38</v>
      </c>
    </row>
    <row r="35" customFormat="false" ht="32.8" hidden="false" customHeight="false" outlineLevel="0" collapsed="false">
      <c r="A35" s="2" t="s">
        <v>82</v>
      </c>
      <c r="B35" s="2" t="s">
        <v>93</v>
      </c>
      <c r="C35" s="2" t="s">
        <v>94</v>
      </c>
      <c r="D35" s="6" t="s">
        <v>39</v>
      </c>
      <c r="E35" s="2" t="s">
        <v>53</v>
      </c>
      <c r="F35" s="2" t="n">
        <v>96</v>
      </c>
      <c r="G35" s="2" t="n">
        <v>500</v>
      </c>
      <c r="H35" s="2" t="s">
        <v>54</v>
      </c>
      <c r="I35" s="2" t="s">
        <v>55</v>
      </c>
      <c r="J35" s="2" t="s">
        <v>47</v>
      </c>
      <c r="K35" s="2"/>
      <c r="L35" s="2" t="s">
        <v>95</v>
      </c>
      <c r="M35" s="2" t="s">
        <v>96</v>
      </c>
      <c r="N35" s="2" t="s">
        <v>36</v>
      </c>
      <c r="O35" s="2" t="s">
        <v>48</v>
      </c>
      <c r="P35" s="2" t="n">
        <v>12</v>
      </c>
      <c r="Q35" s="4" t="n">
        <v>2.4</v>
      </c>
      <c r="R35" s="2" t="n">
        <v>6400</v>
      </c>
      <c r="S35" s="2" t="n">
        <v>8800</v>
      </c>
      <c r="T35" s="4" t="n">
        <f aca="false">P35*R35*Assumptions!$B$10/1000</f>
        <v>614.4</v>
      </c>
      <c r="U35" s="4" t="n">
        <f aca="false">IF(ISNUMBER(S35),P35*S35*Assumptions!$B$10/1000,"N/A")</f>
        <v>844.8</v>
      </c>
      <c r="V35" s="5" t="n">
        <f aca="false">F35*Q35*IF(N35="E-core (Sierra Forest)",Assumptions!$B$8,Assumptions!$B$4)/1000</f>
        <v>7.3728</v>
      </c>
      <c r="W35" s="5" t="n">
        <f aca="false">F35*Q35*IF(N35="E-core (Sierra Forest)",Assumptions!$B$9,Assumptions!$B$5)/1000</f>
        <v>14.7456</v>
      </c>
      <c r="X35" s="4" t="n">
        <f aca="false">IF(N35="E-core (Sierra Forest)","N/A (no AMX)",F35*Q35*Assumptions!$B$6/1000)</f>
        <v>235.9296</v>
      </c>
      <c r="Y35" s="4" t="n">
        <f aca="false">IF(N35="E-core (Sierra Forest)","N/A (no AMX)",F35*Q35*Assumptions!$B$7/1000)</f>
        <v>471.8592</v>
      </c>
      <c r="Z35" s="2" t="s">
        <v>38</v>
      </c>
    </row>
    <row r="36" customFormat="false" ht="32.8" hidden="false" customHeight="false" outlineLevel="0" collapsed="false">
      <c r="A36" s="2" t="s">
        <v>82</v>
      </c>
      <c r="B36" s="2" t="s">
        <v>93</v>
      </c>
      <c r="C36" s="2" t="s">
        <v>94</v>
      </c>
      <c r="D36" s="6" t="s">
        <v>39</v>
      </c>
      <c r="E36" s="2" t="s">
        <v>64</v>
      </c>
      <c r="F36" s="2" t="n">
        <v>86</v>
      </c>
      <c r="G36" s="2" t="n">
        <v>350</v>
      </c>
      <c r="H36" s="2" t="s">
        <v>57</v>
      </c>
      <c r="I36" s="2" t="s">
        <v>58</v>
      </c>
      <c r="J36" s="2" t="s">
        <v>46</v>
      </c>
      <c r="K36" s="2"/>
      <c r="L36" s="2" t="s">
        <v>95</v>
      </c>
      <c r="M36" s="2" t="s">
        <v>96</v>
      </c>
      <c r="N36" s="2" t="s">
        <v>36</v>
      </c>
      <c r="O36" s="2" t="s">
        <v>37</v>
      </c>
      <c r="P36" s="2" t="n">
        <v>8</v>
      </c>
      <c r="Q36" s="4" t="n">
        <v>2</v>
      </c>
      <c r="R36" s="2" t="n">
        <v>6400</v>
      </c>
      <c r="S36" s="2" t="n">
        <v>8000</v>
      </c>
      <c r="T36" s="4" t="n">
        <f aca="false">P36*R36*Assumptions!$B$10/1000</f>
        <v>409.6</v>
      </c>
      <c r="U36" s="4" t="n">
        <f aca="false">IF(ISNUMBER(S36),P36*S36*Assumptions!$B$10/1000,"N/A")</f>
        <v>512</v>
      </c>
      <c r="V36" s="5" t="n">
        <f aca="false">F36*Q36*IF(N36="E-core (Sierra Forest)",Assumptions!$B$8,Assumptions!$B$4)/1000</f>
        <v>5.504</v>
      </c>
      <c r="W36" s="5" t="n">
        <f aca="false">F36*Q36*IF(N36="E-core (Sierra Forest)",Assumptions!$B$9,Assumptions!$B$5)/1000</f>
        <v>11.008</v>
      </c>
      <c r="X36" s="4" t="n">
        <f aca="false">IF(N36="E-core (Sierra Forest)","N/A (no AMX)",F36*Q36*Assumptions!$B$6/1000)</f>
        <v>176.128</v>
      </c>
      <c r="Y36" s="4" t="n">
        <f aca="false">IF(N36="E-core (Sierra Forest)","N/A (no AMX)",F36*Q36*Assumptions!$B$7/1000)</f>
        <v>352.256</v>
      </c>
      <c r="Z36" s="2" t="s">
        <v>38</v>
      </c>
    </row>
    <row r="37" customFormat="false" ht="32.8" hidden="false" customHeight="false" outlineLevel="0" collapsed="false">
      <c r="A37" s="2" t="s">
        <v>82</v>
      </c>
      <c r="B37" s="2" t="s">
        <v>93</v>
      </c>
      <c r="C37" s="2" t="s">
        <v>94</v>
      </c>
      <c r="D37" s="7" t="s">
        <v>43</v>
      </c>
      <c r="E37" s="2" t="s">
        <v>56</v>
      </c>
      <c r="F37" s="2" t="n">
        <v>128</v>
      </c>
      <c r="G37" s="2" t="n">
        <v>500</v>
      </c>
      <c r="H37" s="2" t="s">
        <v>57</v>
      </c>
      <c r="I37" s="2" t="s">
        <v>58</v>
      </c>
      <c r="J37" s="2" t="s">
        <v>47</v>
      </c>
      <c r="K37" s="2"/>
      <c r="L37" s="2" t="s">
        <v>95</v>
      </c>
      <c r="M37" s="2" t="s">
        <v>96</v>
      </c>
      <c r="N37" s="2" t="s">
        <v>36</v>
      </c>
      <c r="O37" s="2" t="s">
        <v>48</v>
      </c>
      <c r="P37" s="2" t="n">
        <v>12</v>
      </c>
      <c r="Q37" s="4" t="n">
        <v>2</v>
      </c>
      <c r="R37" s="2" t="n">
        <v>6400</v>
      </c>
      <c r="S37" s="2" t="n">
        <v>8800</v>
      </c>
      <c r="T37" s="4" t="n">
        <f aca="false">P37*R37*Assumptions!$B$10/1000</f>
        <v>614.4</v>
      </c>
      <c r="U37" s="4" t="n">
        <f aca="false">IF(ISNUMBER(S37),P37*S37*Assumptions!$B$10/1000,"N/A")</f>
        <v>844.8</v>
      </c>
      <c r="V37" s="5" t="n">
        <f aca="false">F37*Q37*IF(N37="E-core (Sierra Forest)",Assumptions!$B$8,Assumptions!$B$4)/1000</f>
        <v>8.192</v>
      </c>
      <c r="W37" s="5" t="n">
        <f aca="false">F37*Q37*IF(N37="E-core (Sierra Forest)",Assumptions!$B$9,Assumptions!$B$5)/1000</f>
        <v>16.384</v>
      </c>
      <c r="X37" s="4" t="n">
        <f aca="false">IF(N37="E-core (Sierra Forest)","N/A (no AMX)",F37*Q37*Assumptions!$B$6/1000)</f>
        <v>262.144</v>
      </c>
      <c r="Y37" s="4" t="n">
        <f aca="false">IF(N37="E-core (Sierra Forest)","N/A (no AMX)",F37*Q37*Assumptions!$B$7/1000)</f>
        <v>524.288</v>
      </c>
      <c r="Z37" s="2" t="s">
        <v>38</v>
      </c>
    </row>
    <row r="38" customFormat="false" ht="32.8" hidden="false" customHeight="false" outlineLevel="0" collapsed="false">
      <c r="A38" s="2" t="s">
        <v>82</v>
      </c>
      <c r="B38" s="2" t="s">
        <v>93</v>
      </c>
      <c r="C38" s="2" t="s">
        <v>94</v>
      </c>
      <c r="D38" s="7" t="s">
        <v>43</v>
      </c>
      <c r="E38" s="2" t="s">
        <v>97</v>
      </c>
      <c r="F38" s="2" t="n">
        <v>120</v>
      </c>
      <c r="G38" s="2" t="n">
        <v>500</v>
      </c>
      <c r="H38" s="2" t="s">
        <v>98</v>
      </c>
      <c r="I38" s="2" t="s">
        <v>58</v>
      </c>
      <c r="J38" s="2" t="s">
        <v>47</v>
      </c>
      <c r="K38" s="2"/>
      <c r="L38" s="2" t="s">
        <v>95</v>
      </c>
      <c r="M38" s="2" t="s">
        <v>96</v>
      </c>
      <c r="N38" s="2" t="s">
        <v>36</v>
      </c>
      <c r="O38" s="2" t="s">
        <v>48</v>
      </c>
      <c r="P38" s="2" t="n">
        <v>12</v>
      </c>
      <c r="Q38" s="4" t="n">
        <v>2.1</v>
      </c>
      <c r="R38" s="2" t="n">
        <v>6400</v>
      </c>
      <c r="S38" s="2" t="n">
        <v>8800</v>
      </c>
      <c r="T38" s="4" t="n">
        <f aca="false">P38*R38*Assumptions!$B$10/1000</f>
        <v>614.4</v>
      </c>
      <c r="U38" s="4" t="n">
        <f aca="false">IF(ISNUMBER(S38),P38*S38*Assumptions!$B$10/1000,"N/A")</f>
        <v>844.8</v>
      </c>
      <c r="V38" s="5" t="n">
        <f aca="false">F38*Q38*IF(N38="E-core (Sierra Forest)",Assumptions!$B$8,Assumptions!$B$4)/1000</f>
        <v>8.064</v>
      </c>
      <c r="W38" s="5" t="n">
        <f aca="false">F38*Q38*IF(N38="E-core (Sierra Forest)",Assumptions!$B$9,Assumptions!$B$5)/1000</f>
        <v>16.128</v>
      </c>
      <c r="X38" s="4" t="n">
        <f aca="false">IF(N38="E-core (Sierra Forest)","N/A (no AMX)",F38*Q38*Assumptions!$B$6/1000)</f>
        <v>258.048</v>
      </c>
      <c r="Y38" s="4" t="n">
        <f aca="false">IF(N38="E-core (Sierra Forest)","N/A (no AMX)",F38*Q38*Assumptions!$B$7/1000)</f>
        <v>516.096</v>
      </c>
      <c r="Z38" s="2" t="s">
        <v>38</v>
      </c>
    </row>
    <row r="39" customFormat="false" ht="32.8" hidden="false" customHeight="false" outlineLevel="0" collapsed="false">
      <c r="A39" s="2" t="s">
        <v>82</v>
      </c>
      <c r="B39" s="2" t="s">
        <v>99</v>
      </c>
      <c r="C39" s="2" t="s">
        <v>100</v>
      </c>
      <c r="D39" s="3" t="s">
        <v>29</v>
      </c>
      <c r="E39" s="2" t="s">
        <v>60</v>
      </c>
      <c r="F39" s="2" t="n">
        <v>48</v>
      </c>
      <c r="G39" s="2" t="n">
        <v>330</v>
      </c>
      <c r="H39" s="2" t="s">
        <v>45</v>
      </c>
      <c r="I39" s="2" t="s">
        <v>46</v>
      </c>
      <c r="J39" s="2" t="s">
        <v>47</v>
      </c>
      <c r="K39" s="2"/>
      <c r="L39" s="2" t="s">
        <v>101</v>
      </c>
      <c r="M39" s="2" t="s">
        <v>102</v>
      </c>
      <c r="N39" s="2" t="s">
        <v>36</v>
      </c>
      <c r="O39" s="2" t="s">
        <v>37</v>
      </c>
      <c r="P39" s="2" t="n">
        <v>8</v>
      </c>
      <c r="Q39" s="4" t="n">
        <v>2.7</v>
      </c>
      <c r="R39" s="2" t="n">
        <v>6400</v>
      </c>
      <c r="S39" s="2" t="n">
        <v>8000</v>
      </c>
      <c r="T39" s="4" t="n">
        <f aca="false">P39*R39*Assumptions!$B$10/1000</f>
        <v>409.6</v>
      </c>
      <c r="U39" s="4" t="n">
        <f aca="false">IF(ISNUMBER(S39),P39*S39*Assumptions!$B$10/1000,"N/A")</f>
        <v>512</v>
      </c>
      <c r="V39" s="5" t="n">
        <f aca="false">F39*Q39*IF(N39="E-core (Sierra Forest)",Assumptions!$B$8,Assumptions!$B$4)/1000</f>
        <v>4.1472</v>
      </c>
      <c r="W39" s="5" t="n">
        <f aca="false">F39*Q39*IF(N39="E-core (Sierra Forest)",Assumptions!$B$9,Assumptions!$B$5)/1000</f>
        <v>8.2944</v>
      </c>
      <c r="X39" s="4" t="n">
        <f aca="false">IF(N39="E-core (Sierra Forest)","N/A (no AMX)",F39*Q39*Assumptions!$B$6/1000)</f>
        <v>132.7104</v>
      </c>
      <c r="Y39" s="4" t="n">
        <f aca="false">IF(N39="E-core (Sierra Forest)","N/A (no AMX)",F39*Q39*Assumptions!$B$7/1000)</f>
        <v>265.4208</v>
      </c>
      <c r="Z39" s="2" t="s">
        <v>38</v>
      </c>
    </row>
    <row r="40" customFormat="false" ht="32.8" hidden="false" customHeight="false" outlineLevel="0" collapsed="false">
      <c r="A40" s="2" t="s">
        <v>82</v>
      </c>
      <c r="B40" s="2" t="s">
        <v>99</v>
      </c>
      <c r="C40" s="2" t="s">
        <v>100</v>
      </c>
      <c r="D40" s="6" t="s">
        <v>39</v>
      </c>
      <c r="E40" s="2" t="s">
        <v>64</v>
      </c>
      <c r="F40" s="2" t="n">
        <v>86</v>
      </c>
      <c r="G40" s="2" t="n">
        <v>350</v>
      </c>
      <c r="H40" s="2" t="s">
        <v>57</v>
      </c>
      <c r="I40" s="2" t="s">
        <v>58</v>
      </c>
      <c r="J40" s="2" t="s">
        <v>46</v>
      </c>
      <c r="K40" s="2"/>
      <c r="L40" s="2" t="s">
        <v>101</v>
      </c>
      <c r="M40" s="2" t="s">
        <v>102</v>
      </c>
      <c r="N40" s="2" t="s">
        <v>36</v>
      </c>
      <c r="O40" s="2" t="s">
        <v>37</v>
      </c>
      <c r="P40" s="2" t="n">
        <v>8</v>
      </c>
      <c r="Q40" s="4" t="n">
        <v>2</v>
      </c>
      <c r="R40" s="2" t="n">
        <v>6400</v>
      </c>
      <c r="S40" s="2" t="n">
        <v>8000</v>
      </c>
      <c r="T40" s="4" t="n">
        <f aca="false">P40*R40*Assumptions!$B$10/1000</f>
        <v>409.6</v>
      </c>
      <c r="U40" s="4" t="n">
        <f aca="false">IF(ISNUMBER(S40),P40*S40*Assumptions!$B$10/1000,"N/A")</f>
        <v>512</v>
      </c>
      <c r="V40" s="5" t="n">
        <f aca="false">F40*Q40*IF(N40="E-core (Sierra Forest)",Assumptions!$B$8,Assumptions!$B$4)/1000</f>
        <v>5.504</v>
      </c>
      <c r="W40" s="5" t="n">
        <f aca="false">F40*Q40*IF(N40="E-core (Sierra Forest)",Assumptions!$B$9,Assumptions!$B$5)/1000</f>
        <v>11.008</v>
      </c>
      <c r="X40" s="4" t="n">
        <f aca="false">IF(N40="E-core (Sierra Forest)","N/A (no AMX)",F40*Q40*Assumptions!$B$6/1000)</f>
        <v>176.128</v>
      </c>
      <c r="Y40" s="4" t="n">
        <f aca="false">IF(N40="E-core (Sierra Forest)","N/A (no AMX)",F40*Q40*Assumptions!$B$7/1000)</f>
        <v>352.256</v>
      </c>
      <c r="Z40" s="2" t="s">
        <v>38</v>
      </c>
    </row>
    <row r="41" customFormat="false" ht="32.8" hidden="false" customHeight="false" outlineLevel="0" collapsed="false">
      <c r="A41" s="2" t="s">
        <v>82</v>
      </c>
      <c r="B41" s="2" t="s">
        <v>99</v>
      </c>
      <c r="C41" s="2" t="s">
        <v>100</v>
      </c>
      <c r="D41" s="6" t="s">
        <v>39</v>
      </c>
      <c r="E41" s="2" t="s">
        <v>62</v>
      </c>
      <c r="F41" s="2" t="n">
        <v>64</v>
      </c>
      <c r="G41" s="2" t="n">
        <v>350</v>
      </c>
      <c r="H41" s="2" t="s">
        <v>54</v>
      </c>
      <c r="I41" s="2" t="s">
        <v>31</v>
      </c>
      <c r="J41" s="2" t="s">
        <v>47</v>
      </c>
      <c r="K41" s="2"/>
      <c r="L41" s="2" t="s">
        <v>101</v>
      </c>
      <c r="M41" s="2" t="s">
        <v>102</v>
      </c>
      <c r="N41" s="2" t="s">
        <v>36</v>
      </c>
      <c r="O41" s="2" t="s">
        <v>37</v>
      </c>
      <c r="P41" s="2" t="n">
        <v>8</v>
      </c>
      <c r="Q41" s="4" t="n">
        <v>2.4</v>
      </c>
      <c r="R41" s="2" t="n">
        <v>6400</v>
      </c>
      <c r="S41" s="2" t="n">
        <v>8000</v>
      </c>
      <c r="T41" s="4" t="n">
        <f aca="false">P41*R41*Assumptions!$B$10/1000</f>
        <v>409.6</v>
      </c>
      <c r="U41" s="4" t="n">
        <f aca="false">IF(ISNUMBER(S41),P41*S41*Assumptions!$B$10/1000,"N/A")</f>
        <v>512</v>
      </c>
      <c r="V41" s="5" t="n">
        <f aca="false">F41*Q41*IF(N41="E-core (Sierra Forest)",Assumptions!$B$8,Assumptions!$B$4)/1000</f>
        <v>4.9152</v>
      </c>
      <c r="W41" s="5" t="n">
        <f aca="false">F41*Q41*IF(N41="E-core (Sierra Forest)",Assumptions!$B$9,Assumptions!$B$5)/1000</f>
        <v>9.8304</v>
      </c>
      <c r="X41" s="4" t="n">
        <f aca="false">IF(N41="E-core (Sierra Forest)","N/A (no AMX)",F41*Q41*Assumptions!$B$6/1000)</f>
        <v>157.2864</v>
      </c>
      <c r="Y41" s="4" t="n">
        <f aca="false">IF(N41="E-core (Sierra Forest)","N/A (no AMX)",F41*Q41*Assumptions!$B$7/1000)</f>
        <v>314.5728</v>
      </c>
      <c r="Z41" s="2" t="s">
        <v>38</v>
      </c>
    </row>
    <row r="42" customFormat="false" ht="32.8" hidden="false" customHeight="false" outlineLevel="0" collapsed="false">
      <c r="A42" s="2" t="s">
        <v>82</v>
      </c>
      <c r="B42" s="2" t="s">
        <v>99</v>
      </c>
      <c r="C42" s="2" t="s">
        <v>100</v>
      </c>
      <c r="D42" s="7" t="s">
        <v>43</v>
      </c>
      <c r="E42" s="2" t="s">
        <v>56</v>
      </c>
      <c r="F42" s="2" t="n">
        <v>128</v>
      </c>
      <c r="G42" s="2" t="n">
        <v>500</v>
      </c>
      <c r="H42" s="2" t="s">
        <v>57</v>
      </c>
      <c r="I42" s="2" t="s">
        <v>58</v>
      </c>
      <c r="J42" s="2" t="s">
        <v>47</v>
      </c>
      <c r="K42" s="2"/>
      <c r="L42" s="2" t="s">
        <v>101</v>
      </c>
      <c r="M42" s="2" t="s">
        <v>102</v>
      </c>
      <c r="N42" s="2" t="s">
        <v>36</v>
      </c>
      <c r="O42" s="2" t="s">
        <v>48</v>
      </c>
      <c r="P42" s="2" t="n">
        <v>12</v>
      </c>
      <c r="Q42" s="4" t="n">
        <v>2</v>
      </c>
      <c r="R42" s="2" t="n">
        <v>6400</v>
      </c>
      <c r="S42" s="2" t="n">
        <v>8800</v>
      </c>
      <c r="T42" s="4" t="n">
        <f aca="false">P42*R42*Assumptions!$B$10/1000</f>
        <v>614.4</v>
      </c>
      <c r="U42" s="4" t="n">
        <f aca="false">IF(ISNUMBER(S42),P42*S42*Assumptions!$B$10/1000,"N/A")</f>
        <v>844.8</v>
      </c>
      <c r="V42" s="5" t="n">
        <f aca="false">F42*Q42*IF(N42="E-core (Sierra Forest)",Assumptions!$B$8,Assumptions!$B$4)/1000</f>
        <v>8.192</v>
      </c>
      <c r="W42" s="5" t="n">
        <f aca="false">F42*Q42*IF(N42="E-core (Sierra Forest)",Assumptions!$B$9,Assumptions!$B$5)/1000</f>
        <v>16.384</v>
      </c>
      <c r="X42" s="4" t="n">
        <f aca="false">IF(N42="E-core (Sierra Forest)","N/A (no AMX)",F42*Q42*Assumptions!$B$6/1000)</f>
        <v>262.144</v>
      </c>
      <c r="Y42" s="4" t="n">
        <f aca="false">IF(N42="E-core (Sierra Forest)","N/A (no AMX)",F42*Q42*Assumptions!$B$7/1000)</f>
        <v>524.288</v>
      </c>
      <c r="Z42" s="2" t="s">
        <v>38</v>
      </c>
    </row>
    <row r="43" customFormat="false" ht="32.8" hidden="false" customHeight="false" outlineLevel="0" collapsed="false">
      <c r="A43" s="2" t="s">
        <v>82</v>
      </c>
      <c r="B43" s="2" t="s">
        <v>99</v>
      </c>
      <c r="C43" s="2" t="s">
        <v>100</v>
      </c>
      <c r="D43" s="7" t="s">
        <v>43</v>
      </c>
      <c r="E43" s="2" t="s">
        <v>53</v>
      </c>
      <c r="F43" s="2" t="n">
        <v>96</v>
      </c>
      <c r="G43" s="2" t="n">
        <v>500</v>
      </c>
      <c r="H43" s="2" t="s">
        <v>54</v>
      </c>
      <c r="I43" s="2" t="s">
        <v>55</v>
      </c>
      <c r="J43" s="2" t="s">
        <v>47</v>
      </c>
      <c r="K43" s="2"/>
      <c r="L43" s="2" t="s">
        <v>101</v>
      </c>
      <c r="M43" s="2" t="s">
        <v>102</v>
      </c>
      <c r="N43" s="2" t="s">
        <v>36</v>
      </c>
      <c r="O43" s="2" t="s">
        <v>48</v>
      </c>
      <c r="P43" s="2" t="n">
        <v>12</v>
      </c>
      <c r="Q43" s="4" t="n">
        <v>2.4</v>
      </c>
      <c r="R43" s="2" t="n">
        <v>6400</v>
      </c>
      <c r="S43" s="2" t="n">
        <v>8800</v>
      </c>
      <c r="T43" s="4" t="n">
        <f aca="false">P43*R43*Assumptions!$B$10/1000</f>
        <v>614.4</v>
      </c>
      <c r="U43" s="4" t="n">
        <f aca="false">IF(ISNUMBER(S43),P43*S43*Assumptions!$B$10/1000,"N/A")</f>
        <v>844.8</v>
      </c>
      <c r="V43" s="5" t="n">
        <f aca="false">F43*Q43*IF(N43="E-core (Sierra Forest)",Assumptions!$B$8,Assumptions!$B$4)/1000</f>
        <v>7.3728</v>
      </c>
      <c r="W43" s="5" t="n">
        <f aca="false">F43*Q43*IF(N43="E-core (Sierra Forest)",Assumptions!$B$9,Assumptions!$B$5)/1000</f>
        <v>14.7456</v>
      </c>
      <c r="X43" s="4" t="n">
        <f aca="false">IF(N43="E-core (Sierra Forest)","N/A (no AMX)",F43*Q43*Assumptions!$B$6/1000)</f>
        <v>235.9296</v>
      </c>
      <c r="Y43" s="4" t="n">
        <f aca="false">IF(N43="E-core (Sierra Forest)","N/A (no AMX)",F43*Q43*Assumptions!$B$7/1000)</f>
        <v>471.8592</v>
      </c>
      <c r="Z43" s="2" t="s">
        <v>38</v>
      </c>
    </row>
    <row r="44" customFormat="false" ht="32.8" hidden="false" customHeight="false" outlineLevel="0" collapsed="false">
      <c r="A44" s="2" t="s">
        <v>82</v>
      </c>
      <c r="B44" s="2" t="s">
        <v>103</v>
      </c>
      <c r="C44" s="2" t="s">
        <v>104</v>
      </c>
      <c r="D44" s="3" t="s">
        <v>29</v>
      </c>
      <c r="E44" s="2" t="s">
        <v>30</v>
      </c>
      <c r="F44" s="2" t="n">
        <v>16</v>
      </c>
      <c r="G44" s="2" t="n">
        <v>210</v>
      </c>
      <c r="H44" s="2" t="s">
        <v>31</v>
      </c>
      <c r="I44" s="2" t="s">
        <v>32</v>
      </c>
      <c r="J44" s="2" t="s">
        <v>33</v>
      </c>
      <c r="K44" s="2"/>
      <c r="L44" s="2"/>
      <c r="M44" s="2" t="s">
        <v>105</v>
      </c>
      <c r="N44" s="2" t="s">
        <v>36</v>
      </c>
      <c r="O44" s="2" t="s">
        <v>37</v>
      </c>
      <c r="P44" s="2" t="n">
        <v>8</v>
      </c>
      <c r="Q44" s="4" t="n">
        <v>3.6</v>
      </c>
      <c r="R44" s="2" t="n">
        <v>6400</v>
      </c>
      <c r="S44" s="2" t="n">
        <v>8000</v>
      </c>
      <c r="T44" s="4" t="n">
        <f aca="false">P44*R44*Assumptions!$B$10/1000</f>
        <v>409.6</v>
      </c>
      <c r="U44" s="4" t="n">
        <f aca="false">IF(ISNUMBER(S44),P44*S44*Assumptions!$B$10/1000,"N/A")</f>
        <v>512</v>
      </c>
      <c r="V44" s="5" t="n">
        <f aca="false">F44*Q44*IF(N44="E-core (Sierra Forest)",Assumptions!$B$8,Assumptions!$B$4)/1000</f>
        <v>1.8432</v>
      </c>
      <c r="W44" s="5" t="n">
        <f aca="false">F44*Q44*IF(N44="E-core (Sierra Forest)",Assumptions!$B$9,Assumptions!$B$5)/1000</f>
        <v>3.6864</v>
      </c>
      <c r="X44" s="4" t="n">
        <f aca="false">IF(N44="E-core (Sierra Forest)","N/A (no AMX)",F44*Q44*Assumptions!$B$6/1000)</f>
        <v>58.9824</v>
      </c>
      <c r="Y44" s="4" t="n">
        <f aca="false">IF(N44="E-core (Sierra Forest)","N/A (no AMX)",F44*Q44*Assumptions!$B$7/1000)</f>
        <v>117.9648</v>
      </c>
      <c r="Z44" s="2" t="s">
        <v>38</v>
      </c>
    </row>
    <row r="45" customFormat="false" ht="32.8" hidden="false" customHeight="false" outlineLevel="0" collapsed="false">
      <c r="A45" s="2" t="s">
        <v>82</v>
      </c>
      <c r="B45" s="2" t="s">
        <v>103</v>
      </c>
      <c r="C45" s="2" t="s">
        <v>104</v>
      </c>
      <c r="D45" s="6" t="s">
        <v>39</v>
      </c>
      <c r="E45" s="2" t="s">
        <v>106</v>
      </c>
      <c r="F45" s="2" t="n">
        <v>32</v>
      </c>
      <c r="G45" s="2" t="n">
        <v>270</v>
      </c>
      <c r="H45" s="2" t="s">
        <v>41</v>
      </c>
      <c r="I45" s="2" t="s">
        <v>32</v>
      </c>
      <c r="J45" s="2" t="s">
        <v>32</v>
      </c>
      <c r="K45" s="2"/>
      <c r="L45" s="2"/>
      <c r="M45" s="2" t="s">
        <v>105</v>
      </c>
      <c r="N45" s="2" t="s">
        <v>36</v>
      </c>
      <c r="O45" s="2" t="s">
        <v>37</v>
      </c>
      <c r="P45" s="2" t="n">
        <v>8</v>
      </c>
      <c r="Q45" s="4" t="n">
        <v>2.9</v>
      </c>
      <c r="R45" s="2" t="n">
        <v>6400</v>
      </c>
      <c r="S45" s="2" t="n">
        <v>8000</v>
      </c>
      <c r="T45" s="4" t="n">
        <f aca="false">P45*R45*Assumptions!$B$10/1000</f>
        <v>409.6</v>
      </c>
      <c r="U45" s="4" t="n">
        <f aca="false">IF(ISNUMBER(S45),P45*S45*Assumptions!$B$10/1000,"N/A")</f>
        <v>512</v>
      </c>
      <c r="V45" s="5" t="n">
        <f aca="false">F45*Q45*IF(N45="E-core (Sierra Forest)",Assumptions!$B$8,Assumptions!$B$4)/1000</f>
        <v>2.9696</v>
      </c>
      <c r="W45" s="5" t="n">
        <f aca="false">F45*Q45*IF(N45="E-core (Sierra Forest)",Assumptions!$B$9,Assumptions!$B$5)/1000</f>
        <v>5.9392</v>
      </c>
      <c r="X45" s="4" t="n">
        <f aca="false">IF(N45="E-core (Sierra Forest)","N/A (no AMX)",F45*Q45*Assumptions!$B$6/1000)</f>
        <v>95.0272</v>
      </c>
      <c r="Y45" s="4" t="n">
        <f aca="false">IF(N45="E-core (Sierra Forest)","N/A (no AMX)",F45*Q45*Assumptions!$B$7/1000)</f>
        <v>190.0544</v>
      </c>
      <c r="Z45" s="2" t="s">
        <v>38</v>
      </c>
    </row>
    <row r="46" customFormat="false" ht="32.8" hidden="false" customHeight="false" outlineLevel="0" collapsed="false">
      <c r="A46" s="2" t="s">
        <v>82</v>
      </c>
      <c r="B46" s="2" t="s">
        <v>103</v>
      </c>
      <c r="C46" s="2" t="s">
        <v>104</v>
      </c>
      <c r="D46" s="7" t="s">
        <v>43</v>
      </c>
      <c r="E46" s="2" t="s">
        <v>107</v>
      </c>
      <c r="F46" s="2" t="n">
        <v>32</v>
      </c>
      <c r="G46" s="2" t="n">
        <v>300</v>
      </c>
      <c r="H46" s="2" t="s">
        <v>108</v>
      </c>
      <c r="I46" s="2" t="s">
        <v>109</v>
      </c>
      <c r="J46" s="2" t="s">
        <v>33</v>
      </c>
      <c r="K46" s="2"/>
      <c r="L46" s="2"/>
      <c r="M46" s="2" t="s">
        <v>105</v>
      </c>
      <c r="N46" s="2" t="s">
        <v>36</v>
      </c>
      <c r="O46" s="2" t="s">
        <v>37</v>
      </c>
      <c r="P46" s="2" t="n">
        <v>8</v>
      </c>
      <c r="Q46" s="4" t="n">
        <v>3.1</v>
      </c>
      <c r="R46" s="2" t="n">
        <v>6400</v>
      </c>
      <c r="S46" s="2" t="n">
        <v>8000</v>
      </c>
      <c r="T46" s="4" t="n">
        <f aca="false">P46*R46*Assumptions!$B$10/1000</f>
        <v>409.6</v>
      </c>
      <c r="U46" s="4" t="n">
        <f aca="false">IF(ISNUMBER(S46),P46*S46*Assumptions!$B$10/1000,"N/A")</f>
        <v>512</v>
      </c>
      <c r="V46" s="5" t="n">
        <f aca="false">F46*Q46*IF(N46="E-core (Sierra Forest)",Assumptions!$B$8,Assumptions!$B$4)/1000</f>
        <v>3.1744</v>
      </c>
      <c r="W46" s="5" t="n">
        <f aca="false">F46*Q46*IF(N46="E-core (Sierra Forest)",Assumptions!$B$9,Assumptions!$B$5)/1000</f>
        <v>6.3488</v>
      </c>
      <c r="X46" s="4" t="n">
        <f aca="false">IF(N46="E-core (Sierra Forest)","N/A (no AMX)",F46*Q46*Assumptions!$B$6/1000)</f>
        <v>101.5808</v>
      </c>
      <c r="Y46" s="4" t="n">
        <f aca="false">IF(N46="E-core (Sierra Forest)","N/A (no AMX)",F46*Q46*Assumptions!$B$7/1000)</f>
        <v>203.1616</v>
      </c>
      <c r="Z46" s="2" t="s">
        <v>38</v>
      </c>
    </row>
    <row r="47" customFormat="false" ht="43.25" hidden="false" customHeight="false" outlineLevel="0" collapsed="false">
      <c r="A47" s="2" t="s">
        <v>110</v>
      </c>
      <c r="B47" s="2" t="s">
        <v>111</v>
      </c>
      <c r="C47" s="2" t="s">
        <v>112</v>
      </c>
      <c r="D47" s="3" t="s">
        <v>29</v>
      </c>
      <c r="E47" s="2" t="s">
        <v>60</v>
      </c>
      <c r="F47" s="2" t="n">
        <v>48</v>
      </c>
      <c r="G47" s="2" t="n">
        <v>330</v>
      </c>
      <c r="H47" s="2" t="s">
        <v>45</v>
      </c>
      <c r="I47" s="2" t="s">
        <v>46</v>
      </c>
      <c r="J47" s="2" t="s">
        <v>47</v>
      </c>
      <c r="K47" s="2"/>
      <c r="L47" s="2" t="s">
        <v>113</v>
      </c>
      <c r="M47" s="2" t="s">
        <v>114</v>
      </c>
      <c r="N47" s="2" t="s">
        <v>36</v>
      </c>
      <c r="O47" s="2" t="s">
        <v>37</v>
      </c>
      <c r="P47" s="2" t="n">
        <v>8</v>
      </c>
      <c r="Q47" s="4" t="n">
        <v>2.7</v>
      </c>
      <c r="R47" s="2" t="n">
        <v>6400</v>
      </c>
      <c r="S47" s="2" t="n">
        <v>8000</v>
      </c>
      <c r="T47" s="4" t="n">
        <f aca="false">P47*R47*Assumptions!$B$10/1000</f>
        <v>409.6</v>
      </c>
      <c r="U47" s="4" t="n">
        <f aca="false">IF(ISNUMBER(S47),P47*S47*Assumptions!$B$10/1000,"N/A")</f>
        <v>512</v>
      </c>
      <c r="V47" s="5" t="n">
        <f aca="false">F47*Q47*IF(N47="E-core (Sierra Forest)",Assumptions!$B$8,Assumptions!$B$4)/1000</f>
        <v>4.1472</v>
      </c>
      <c r="W47" s="5" t="n">
        <f aca="false">F47*Q47*IF(N47="E-core (Sierra Forest)",Assumptions!$B$9,Assumptions!$B$5)/1000</f>
        <v>8.2944</v>
      </c>
      <c r="X47" s="4" t="n">
        <f aca="false">IF(N47="E-core (Sierra Forest)","N/A (no AMX)",F47*Q47*Assumptions!$B$6/1000)</f>
        <v>132.7104</v>
      </c>
      <c r="Y47" s="4" t="n">
        <f aca="false">IF(N47="E-core (Sierra Forest)","N/A (no AMX)",F47*Q47*Assumptions!$B$7/1000)</f>
        <v>265.4208</v>
      </c>
      <c r="Z47" s="2" t="s">
        <v>38</v>
      </c>
    </row>
    <row r="48" customFormat="false" ht="43.25" hidden="false" customHeight="false" outlineLevel="0" collapsed="false">
      <c r="A48" s="2" t="s">
        <v>110</v>
      </c>
      <c r="B48" s="2" t="s">
        <v>111</v>
      </c>
      <c r="C48" s="2" t="s">
        <v>112</v>
      </c>
      <c r="D48" s="3" t="s">
        <v>29</v>
      </c>
      <c r="E48" s="2" t="s">
        <v>40</v>
      </c>
      <c r="F48" s="2" t="n">
        <v>32</v>
      </c>
      <c r="G48" s="2" t="n">
        <v>270</v>
      </c>
      <c r="H48" s="2" t="s">
        <v>41</v>
      </c>
      <c r="I48" s="2" t="s">
        <v>42</v>
      </c>
      <c r="J48" s="2" t="s">
        <v>42</v>
      </c>
      <c r="K48" s="2"/>
      <c r="L48" s="2" t="s">
        <v>113</v>
      </c>
      <c r="M48" s="2" t="s">
        <v>114</v>
      </c>
      <c r="N48" s="2" t="s">
        <v>36</v>
      </c>
      <c r="O48" s="2" t="s">
        <v>37</v>
      </c>
      <c r="P48" s="2" t="n">
        <v>8</v>
      </c>
      <c r="Q48" s="4" t="n">
        <v>2.9</v>
      </c>
      <c r="R48" s="2" t="n">
        <v>6400</v>
      </c>
      <c r="S48" s="2" t="n">
        <v>8000</v>
      </c>
      <c r="T48" s="4" t="n">
        <f aca="false">P48*R48*Assumptions!$B$10/1000</f>
        <v>409.6</v>
      </c>
      <c r="U48" s="4" t="n">
        <f aca="false">IF(ISNUMBER(S48),P48*S48*Assumptions!$B$10/1000,"N/A")</f>
        <v>512</v>
      </c>
      <c r="V48" s="5" t="n">
        <f aca="false">F48*Q48*IF(N48="E-core (Sierra Forest)",Assumptions!$B$8,Assumptions!$B$4)/1000</f>
        <v>2.9696</v>
      </c>
      <c r="W48" s="5" t="n">
        <f aca="false">F48*Q48*IF(N48="E-core (Sierra Forest)",Assumptions!$B$9,Assumptions!$B$5)/1000</f>
        <v>5.9392</v>
      </c>
      <c r="X48" s="4" t="n">
        <f aca="false">IF(N48="E-core (Sierra Forest)","N/A (no AMX)",F48*Q48*Assumptions!$B$6/1000)</f>
        <v>95.0272</v>
      </c>
      <c r="Y48" s="4" t="n">
        <f aca="false">IF(N48="E-core (Sierra Forest)","N/A (no AMX)",F48*Q48*Assumptions!$B$7/1000)</f>
        <v>190.0544</v>
      </c>
      <c r="Z48" s="2" t="s">
        <v>38</v>
      </c>
    </row>
    <row r="49" customFormat="false" ht="43.25" hidden="false" customHeight="false" outlineLevel="0" collapsed="false">
      <c r="A49" s="2" t="s">
        <v>110</v>
      </c>
      <c r="B49" s="2" t="s">
        <v>111</v>
      </c>
      <c r="C49" s="2" t="s">
        <v>112</v>
      </c>
      <c r="D49" s="3" t="s">
        <v>29</v>
      </c>
      <c r="E49" s="2" t="s">
        <v>115</v>
      </c>
      <c r="F49" s="2" t="n">
        <v>96</v>
      </c>
      <c r="G49" s="2" t="n">
        <v>250</v>
      </c>
      <c r="H49" s="2" t="s">
        <v>54</v>
      </c>
      <c r="I49" s="2" t="s">
        <v>58</v>
      </c>
      <c r="J49" s="2"/>
      <c r="K49" s="2" t="s">
        <v>116</v>
      </c>
      <c r="L49" s="2" t="s">
        <v>113</v>
      </c>
      <c r="M49" s="2" t="s">
        <v>114</v>
      </c>
      <c r="N49" s="2" t="s">
        <v>117</v>
      </c>
      <c r="O49" s="2" t="s">
        <v>118</v>
      </c>
      <c r="P49" s="2" t="n">
        <v>8</v>
      </c>
      <c r="Q49" s="4" t="n">
        <v>2.4</v>
      </c>
      <c r="R49" s="2" t="n">
        <v>6400</v>
      </c>
      <c r="S49" s="2" t="s">
        <v>119</v>
      </c>
      <c r="T49" s="4" t="n">
        <f aca="false">P49*R49*Assumptions!$B$10/1000</f>
        <v>409.6</v>
      </c>
      <c r="U49" s="4" t="str">
        <f aca="false">IF(ISNUMBER(S49),P49*S49*Assumptions!$B$10/1000,"N/A")</f>
        <v>N/A</v>
      </c>
      <c r="V49" s="5" t="n">
        <f aca="false">F49*Q49*IF(N49="E-core (Sierra Forest)",Assumptions!$B$8,Assumptions!$B$4)/1000</f>
        <v>3.6864</v>
      </c>
      <c r="W49" s="5" t="n">
        <f aca="false">F49*Q49*IF(N49="E-core (Sierra Forest)",Assumptions!$B$9,Assumptions!$B$5)/1000</f>
        <v>7.3728</v>
      </c>
      <c r="X49" s="4" t="str">
        <f aca="false">IF(N49="E-core (Sierra Forest)","N/A (no AMX)",F49*Q49*Assumptions!$B$6/1000)</f>
        <v>N/A (no AMX)</v>
      </c>
      <c r="Y49" s="4" t="str">
        <f aca="false">IF(N49="E-core (Sierra Forest)","N/A (no AMX)",F49*Q49*Assumptions!$B$7/1000)</f>
        <v>N/A (no AMX)</v>
      </c>
      <c r="Z49" s="2" t="s">
        <v>38</v>
      </c>
    </row>
    <row r="50" customFormat="false" ht="43.25" hidden="false" customHeight="false" outlineLevel="0" collapsed="false">
      <c r="A50" s="2" t="s">
        <v>110</v>
      </c>
      <c r="B50" s="2" t="s">
        <v>111</v>
      </c>
      <c r="C50" s="2" t="s">
        <v>112</v>
      </c>
      <c r="D50" s="6" t="s">
        <v>39</v>
      </c>
      <c r="E50" s="2" t="s">
        <v>120</v>
      </c>
      <c r="F50" s="2" t="n">
        <v>96</v>
      </c>
      <c r="G50" s="2" t="n">
        <v>400</v>
      </c>
      <c r="H50" s="2" t="s">
        <v>98</v>
      </c>
      <c r="I50" s="2" t="s">
        <v>58</v>
      </c>
      <c r="J50" s="2" t="s">
        <v>47</v>
      </c>
      <c r="K50" s="2"/>
      <c r="L50" s="2" t="s">
        <v>113</v>
      </c>
      <c r="M50" s="2" t="s">
        <v>114</v>
      </c>
      <c r="N50" s="2" t="s">
        <v>36</v>
      </c>
      <c r="O50" s="2" t="s">
        <v>48</v>
      </c>
      <c r="P50" s="2" t="n">
        <v>12</v>
      </c>
      <c r="Q50" s="4" t="n">
        <v>2.1</v>
      </c>
      <c r="R50" s="2" t="n">
        <v>6400</v>
      </c>
      <c r="S50" s="2" t="n">
        <v>8800</v>
      </c>
      <c r="T50" s="4" t="n">
        <f aca="false">P50*R50*Assumptions!$B$10/1000</f>
        <v>614.4</v>
      </c>
      <c r="U50" s="4" t="n">
        <f aca="false">IF(ISNUMBER(S50),P50*S50*Assumptions!$B$10/1000,"N/A")</f>
        <v>844.8</v>
      </c>
      <c r="V50" s="5" t="n">
        <f aca="false">F50*Q50*IF(N50="E-core (Sierra Forest)",Assumptions!$B$8,Assumptions!$B$4)/1000</f>
        <v>6.4512</v>
      </c>
      <c r="W50" s="5" t="n">
        <f aca="false">F50*Q50*IF(N50="E-core (Sierra Forest)",Assumptions!$B$9,Assumptions!$B$5)/1000</f>
        <v>12.9024</v>
      </c>
      <c r="X50" s="4" t="n">
        <f aca="false">IF(N50="E-core (Sierra Forest)","N/A (no AMX)",F50*Q50*Assumptions!$B$6/1000)</f>
        <v>206.4384</v>
      </c>
      <c r="Y50" s="4" t="n">
        <f aca="false">IF(N50="E-core (Sierra Forest)","N/A (no AMX)",F50*Q50*Assumptions!$B$7/1000)</f>
        <v>412.8768</v>
      </c>
      <c r="Z50" s="2" t="s">
        <v>38</v>
      </c>
    </row>
    <row r="51" customFormat="false" ht="43.25" hidden="false" customHeight="false" outlineLevel="0" collapsed="false">
      <c r="A51" s="2" t="s">
        <v>110</v>
      </c>
      <c r="B51" s="2" t="s">
        <v>111</v>
      </c>
      <c r="C51" s="2" t="s">
        <v>112</v>
      </c>
      <c r="D51" s="6" t="s">
        <v>39</v>
      </c>
      <c r="E51" s="2" t="s">
        <v>121</v>
      </c>
      <c r="F51" s="2" t="n">
        <v>64</v>
      </c>
      <c r="G51" s="2" t="n">
        <v>330</v>
      </c>
      <c r="H51" s="2" t="s">
        <v>122</v>
      </c>
      <c r="I51" s="2" t="s">
        <v>123</v>
      </c>
      <c r="J51" s="2" t="s">
        <v>47</v>
      </c>
      <c r="K51" s="2"/>
      <c r="L51" s="2" t="s">
        <v>113</v>
      </c>
      <c r="M51" s="2" t="s">
        <v>114</v>
      </c>
      <c r="N51" s="2" t="s">
        <v>36</v>
      </c>
      <c r="O51" s="2" t="s">
        <v>37</v>
      </c>
      <c r="P51" s="2" t="n">
        <v>8</v>
      </c>
      <c r="Q51" s="4" t="n">
        <v>2.2</v>
      </c>
      <c r="R51" s="2" t="n">
        <v>6400</v>
      </c>
      <c r="S51" s="2" t="n">
        <v>8000</v>
      </c>
      <c r="T51" s="4" t="n">
        <f aca="false">P51*R51*Assumptions!$B$10/1000</f>
        <v>409.6</v>
      </c>
      <c r="U51" s="4" t="n">
        <f aca="false">IF(ISNUMBER(S51),P51*S51*Assumptions!$B$10/1000,"N/A")</f>
        <v>512</v>
      </c>
      <c r="V51" s="5" t="n">
        <f aca="false">F51*Q51*IF(N51="E-core (Sierra Forest)",Assumptions!$B$8,Assumptions!$B$4)/1000</f>
        <v>4.5056</v>
      </c>
      <c r="W51" s="5" t="n">
        <f aca="false">F51*Q51*IF(N51="E-core (Sierra Forest)",Assumptions!$B$9,Assumptions!$B$5)/1000</f>
        <v>9.0112</v>
      </c>
      <c r="X51" s="4" t="n">
        <f aca="false">IF(N51="E-core (Sierra Forest)","N/A (no AMX)",F51*Q51*Assumptions!$B$6/1000)</f>
        <v>144.1792</v>
      </c>
      <c r="Y51" s="4" t="n">
        <f aca="false">IF(N51="E-core (Sierra Forest)","N/A (no AMX)",F51*Q51*Assumptions!$B$7/1000)</f>
        <v>288.3584</v>
      </c>
      <c r="Z51" s="2" t="s">
        <v>38</v>
      </c>
    </row>
    <row r="52" customFormat="false" ht="43.25" hidden="false" customHeight="false" outlineLevel="0" collapsed="false">
      <c r="A52" s="2" t="s">
        <v>110</v>
      </c>
      <c r="B52" s="2" t="s">
        <v>111</v>
      </c>
      <c r="C52" s="2" t="s">
        <v>112</v>
      </c>
      <c r="D52" s="6" t="s">
        <v>39</v>
      </c>
      <c r="E52" s="2" t="s">
        <v>124</v>
      </c>
      <c r="F52" s="2" t="n">
        <v>128</v>
      </c>
      <c r="G52" s="2" t="n">
        <v>225</v>
      </c>
      <c r="H52" s="2" t="s">
        <v>125</v>
      </c>
      <c r="I52" s="2" t="s">
        <v>63</v>
      </c>
      <c r="J52" s="2"/>
      <c r="K52" s="2" t="s">
        <v>116</v>
      </c>
      <c r="L52" s="2" t="s">
        <v>113</v>
      </c>
      <c r="M52" s="2" t="s">
        <v>114</v>
      </c>
      <c r="N52" s="2" t="s">
        <v>117</v>
      </c>
      <c r="O52" s="2" t="s">
        <v>118</v>
      </c>
      <c r="P52" s="2" t="n">
        <v>8</v>
      </c>
      <c r="Q52" s="4" t="n">
        <v>1.8</v>
      </c>
      <c r="R52" s="2" t="n">
        <v>6400</v>
      </c>
      <c r="S52" s="2" t="s">
        <v>119</v>
      </c>
      <c r="T52" s="4" t="n">
        <f aca="false">P52*R52*Assumptions!$B$10/1000</f>
        <v>409.6</v>
      </c>
      <c r="U52" s="4" t="str">
        <f aca="false">IF(ISNUMBER(S52),P52*S52*Assumptions!$B$10/1000,"N/A")</f>
        <v>N/A</v>
      </c>
      <c r="V52" s="5" t="n">
        <f aca="false">F52*Q52*IF(N52="E-core (Sierra Forest)",Assumptions!$B$8,Assumptions!$B$4)/1000</f>
        <v>3.6864</v>
      </c>
      <c r="W52" s="5" t="n">
        <f aca="false">F52*Q52*IF(N52="E-core (Sierra Forest)",Assumptions!$B$9,Assumptions!$B$5)/1000</f>
        <v>7.3728</v>
      </c>
      <c r="X52" s="4" t="str">
        <f aca="false">IF(N52="E-core (Sierra Forest)","N/A (no AMX)",F52*Q52*Assumptions!$B$6/1000)</f>
        <v>N/A (no AMX)</v>
      </c>
      <c r="Y52" s="4" t="str">
        <f aca="false">IF(N52="E-core (Sierra Forest)","N/A (no AMX)",F52*Q52*Assumptions!$B$7/1000)</f>
        <v>N/A (no AMX)</v>
      </c>
      <c r="Z52" s="2" t="s">
        <v>38</v>
      </c>
    </row>
    <row r="53" customFormat="false" ht="43.25" hidden="false" customHeight="false" outlineLevel="0" collapsed="false">
      <c r="A53" s="2" t="s">
        <v>110</v>
      </c>
      <c r="B53" s="2" t="s">
        <v>111</v>
      </c>
      <c r="C53" s="2" t="s">
        <v>112</v>
      </c>
      <c r="D53" s="7" t="s">
        <v>43</v>
      </c>
      <c r="E53" s="2" t="s">
        <v>56</v>
      </c>
      <c r="F53" s="2" t="n">
        <v>128</v>
      </c>
      <c r="G53" s="2" t="n">
        <v>500</v>
      </c>
      <c r="H53" s="2" t="s">
        <v>57</v>
      </c>
      <c r="I53" s="2" t="s">
        <v>58</v>
      </c>
      <c r="J53" s="2" t="s">
        <v>47</v>
      </c>
      <c r="K53" s="2"/>
      <c r="L53" s="2" t="s">
        <v>113</v>
      </c>
      <c r="M53" s="2" t="s">
        <v>114</v>
      </c>
      <c r="N53" s="2" t="s">
        <v>36</v>
      </c>
      <c r="O53" s="2" t="s">
        <v>48</v>
      </c>
      <c r="P53" s="2" t="n">
        <v>12</v>
      </c>
      <c r="Q53" s="4" t="n">
        <v>2</v>
      </c>
      <c r="R53" s="2" t="n">
        <v>6400</v>
      </c>
      <c r="S53" s="2" t="n">
        <v>8800</v>
      </c>
      <c r="T53" s="4" t="n">
        <f aca="false">P53*R53*Assumptions!$B$10/1000</f>
        <v>614.4</v>
      </c>
      <c r="U53" s="4" t="n">
        <f aca="false">IF(ISNUMBER(S53),P53*S53*Assumptions!$B$10/1000,"N/A")</f>
        <v>844.8</v>
      </c>
      <c r="V53" s="5" t="n">
        <f aca="false">F53*Q53*IF(N53="E-core (Sierra Forest)",Assumptions!$B$8,Assumptions!$B$4)/1000</f>
        <v>8.192</v>
      </c>
      <c r="W53" s="5" t="n">
        <f aca="false">F53*Q53*IF(N53="E-core (Sierra Forest)",Assumptions!$B$9,Assumptions!$B$5)/1000</f>
        <v>16.384</v>
      </c>
      <c r="X53" s="4" t="n">
        <f aca="false">IF(N53="E-core (Sierra Forest)","N/A (no AMX)",F53*Q53*Assumptions!$B$6/1000)</f>
        <v>262.144</v>
      </c>
      <c r="Y53" s="4" t="n">
        <f aca="false">IF(N53="E-core (Sierra Forest)","N/A (no AMX)",F53*Q53*Assumptions!$B$7/1000)</f>
        <v>524.288</v>
      </c>
      <c r="Z53" s="2" t="s">
        <v>38</v>
      </c>
    </row>
    <row r="54" customFormat="false" ht="43.25" hidden="false" customHeight="false" outlineLevel="0" collapsed="false">
      <c r="A54" s="2" t="s">
        <v>110</v>
      </c>
      <c r="B54" s="2" t="s">
        <v>111</v>
      </c>
      <c r="C54" s="2" t="s">
        <v>112</v>
      </c>
      <c r="D54" s="7" t="s">
        <v>43</v>
      </c>
      <c r="E54" s="2" t="s">
        <v>64</v>
      </c>
      <c r="F54" s="2" t="n">
        <v>86</v>
      </c>
      <c r="G54" s="2" t="n">
        <v>350</v>
      </c>
      <c r="H54" s="2" t="s">
        <v>57</v>
      </c>
      <c r="I54" s="2" t="s">
        <v>58</v>
      </c>
      <c r="J54" s="2" t="s">
        <v>46</v>
      </c>
      <c r="K54" s="2"/>
      <c r="L54" s="2" t="s">
        <v>113</v>
      </c>
      <c r="M54" s="2" t="s">
        <v>114</v>
      </c>
      <c r="N54" s="2" t="s">
        <v>36</v>
      </c>
      <c r="O54" s="2" t="s">
        <v>37</v>
      </c>
      <c r="P54" s="2" t="n">
        <v>8</v>
      </c>
      <c r="Q54" s="4" t="n">
        <v>2</v>
      </c>
      <c r="R54" s="2" t="n">
        <v>6400</v>
      </c>
      <c r="S54" s="2" t="n">
        <v>8000</v>
      </c>
      <c r="T54" s="4" t="n">
        <f aca="false">P54*R54*Assumptions!$B$10/1000</f>
        <v>409.6</v>
      </c>
      <c r="U54" s="4" t="n">
        <f aca="false">IF(ISNUMBER(S54),P54*S54*Assumptions!$B$10/1000,"N/A")</f>
        <v>512</v>
      </c>
      <c r="V54" s="5" t="n">
        <f aca="false">F54*Q54*IF(N54="E-core (Sierra Forest)",Assumptions!$B$8,Assumptions!$B$4)/1000</f>
        <v>5.504</v>
      </c>
      <c r="W54" s="5" t="n">
        <f aca="false">F54*Q54*IF(N54="E-core (Sierra Forest)",Assumptions!$B$9,Assumptions!$B$5)/1000</f>
        <v>11.008</v>
      </c>
      <c r="X54" s="4" t="n">
        <f aca="false">IF(N54="E-core (Sierra Forest)","N/A (no AMX)",F54*Q54*Assumptions!$B$6/1000)</f>
        <v>176.128</v>
      </c>
      <c r="Y54" s="4" t="n">
        <f aca="false">IF(N54="E-core (Sierra Forest)","N/A (no AMX)",F54*Q54*Assumptions!$B$7/1000)</f>
        <v>352.256</v>
      </c>
      <c r="Z54" s="2" t="s">
        <v>38</v>
      </c>
    </row>
    <row r="55" customFormat="false" ht="43.25" hidden="false" customHeight="false" outlineLevel="0" collapsed="false">
      <c r="A55" s="2" t="s">
        <v>110</v>
      </c>
      <c r="B55" s="2" t="s">
        <v>111</v>
      </c>
      <c r="C55" s="2" t="s">
        <v>112</v>
      </c>
      <c r="D55" s="7" t="s">
        <v>43</v>
      </c>
      <c r="E55" s="2" t="s">
        <v>126</v>
      </c>
      <c r="F55" s="2" t="n">
        <v>144</v>
      </c>
      <c r="G55" s="2" t="n">
        <v>250</v>
      </c>
      <c r="H55" s="2" t="s">
        <v>127</v>
      </c>
      <c r="I55" s="2" t="s">
        <v>45</v>
      </c>
      <c r="J55" s="2"/>
      <c r="K55" s="2" t="s">
        <v>116</v>
      </c>
      <c r="L55" s="2" t="s">
        <v>113</v>
      </c>
      <c r="M55" s="2" t="s">
        <v>114</v>
      </c>
      <c r="N55" s="2" t="s">
        <v>117</v>
      </c>
      <c r="O55" s="2" t="s">
        <v>118</v>
      </c>
      <c r="P55" s="2" t="n">
        <v>8</v>
      </c>
      <c r="Q55" s="4" t="n">
        <v>1.9</v>
      </c>
      <c r="R55" s="2" t="n">
        <v>6400</v>
      </c>
      <c r="S55" s="2" t="s">
        <v>119</v>
      </c>
      <c r="T55" s="4" t="n">
        <f aca="false">P55*R55*Assumptions!$B$10/1000</f>
        <v>409.6</v>
      </c>
      <c r="U55" s="4" t="str">
        <f aca="false">IF(ISNUMBER(S55),P55*S55*Assumptions!$B$10/1000,"N/A")</f>
        <v>N/A</v>
      </c>
      <c r="V55" s="5" t="n">
        <f aca="false">F55*Q55*IF(N55="E-core (Sierra Forest)",Assumptions!$B$8,Assumptions!$B$4)/1000</f>
        <v>4.3776</v>
      </c>
      <c r="W55" s="5" t="n">
        <f aca="false">F55*Q55*IF(N55="E-core (Sierra Forest)",Assumptions!$B$9,Assumptions!$B$5)/1000</f>
        <v>8.7552</v>
      </c>
      <c r="X55" s="4" t="str">
        <f aca="false">IF(N55="E-core (Sierra Forest)","N/A (no AMX)",F55*Q55*Assumptions!$B$6/1000)</f>
        <v>N/A (no AMX)</v>
      </c>
      <c r="Y55" s="4" t="str">
        <f aca="false">IF(N55="E-core (Sierra Forest)","N/A (no AMX)",F55*Q55*Assumptions!$B$7/1000)</f>
        <v>N/A (no AMX)</v>
      </c>
      <c r="Z55" s="2" t="s">
        <v>38</v>
      </c>
    </row>
    <row r="56" customFormat="false" ht="32.8" hidden="false" customHeight="false" outlineLevel="0" collapsed="false">
      <c r="A56" s="2" t="s">
        <v>110</v>
      </c>
      <c r="B56" s="2" t="s">
        <v>128</v>
      </c>
      <c r="C56" s="2" t="s">
        <v>129</v>
      </c>
      <c r="D56" s="3" t="s">
        <v>29</v>
      </c>
      <c r="E56" s="2" t="s">
        <v>60</v>
      </c>
      <c r="F56" s="2" t="n">
        <v>48</v>
      </c>
      <c r="G56" s="2" t="n">
        <v>330</v>
      </c>
      <c r="H56" s="2" t="s">
        <v>45</v>
      </c>
      <c r="I56" s="2" t="s">
        <v>46</v>
      </c>
      <c r="J56" s="2" t="s">
        <v>47</v>
      </c>
      <c r="K56" s="2"/>
      <c r="L56" s="2" t="s">
        <v>130</v>
      </c>
      <c r="M56" s="2" t="s">
        <v>131</v>
      </c>
      <c r="N56" s="2" t="s">
        <v>36</v>
      </c>
      <c r="O56" s="2" t="s">
        <v>37</v>
      </c>
      <c r="P56" s="2" t="n">
        <v>8</v>
      </c>
      <c r="Q56" s="4" t="n">
        <v>2.7</v>
      </c>
      <c r="R56" s="2" t="n">
        <v>6400</v>
      </c>
      <c r="S56" s="2" t="n">
        <v>8000</v>
      </c>
      <c r="T56" s="4" t="n">
        <f aca="false">P56*R56*Assumptions!$B$10/1000</f>
        <v>409.6</v>
      </c>
      <c r="U56" s="4" t="n">
        <f aca="false">IF(ISNUMBER(S56),P56*S56*Assumptions!$B$10/1000,"N/A")</f>
        <v>512</v>
      </c>
      <c r="V56" s="5" t="n">
        <f aca="false">F56*Q56*IF(N56="E-core (Sierra Forest)",Assumptions!$B$8,Assumptions!$B$4)/1000</f>
        <v>4.1472</v>
      </c>
      <c r="W56" s="5" t="n">
        <f aca="false">F56*Q56*IF(N56="E-core (Sierra Forest)",Assumptions!$B$9,Assumptions!$B$5)/1000</f>
        <v>8.2944</v>
      </c>
      <c r="X56" s="4" t="n">
        <f aca="false">IF(N56="E-core (Sierra Forest)","N/A (no AMX)",F56*Q56*Assumptions!$B$6/1000)</f>
        <v>132.7104</v>
      </c>
      <c r="Y56" s="4" t="n">
        <f aca="false">IF(N56="E-core (Sierra Forest)","N/A (no AMX)",F56*Q56*Assumptions!$B$7/1000)</f>
        <v>265.4208</v>
      </c>
      <c r="Z56" s="2" t="s">
        <v>38</v>
      </c>
    </row>
    <row r="57" customFormat="false" ht="32.8" hidden="false" customHeight="false" outlineLevel="0" collapsed="false">
      <c r="A57" s="2" t="s">
        <v>110</v>
      </c>
      <c r="B57" s="2" t="s">
        <v>128</v>
      </c>
      <c r="C57" s="2" t="s">
        <v>129</v>
      </c>
      <c r="D57" s="3" t="s">
        <v>29</v>
      </c>
      <c r="E57" s="2" t="s">
        <v>40</v>
      </c>
      <c r="F57" s="2" t="n">
        <v>32</v>
      </c>
      <c r="G57" s="2" t="n">
        <v>270</v>
      </c>
      <c r="H57" s="2" t="s">
        <v>41</v>
      </c>
      <c r="I57" s="2" t="s">
        <v>42</v>
      </c>
      <c r="J57" s="2" t="s">
        <v>42</v>
      </c>
      <c r="K57" s="2"/>
      <c r="L57" s="2" t="s">
        <v>130</v>
      </c>
      <c r="M57" s="2" t="s">
        <v>131</v>
      </c>
      <c r="N57" s="2" t="s">
        <v>36</v>
      </c>
      <c r="O57" s="2" t="s">
        <v>37</v>
      </c>
      <c r="P57" s="2" t="n">
        <v>8</v>
      </c>
      <c r="Q57" s="4" t="n">
        <v>2.9</v>
      </c>
      <c r="R57" s="2" t="n">
        <v>6400</v>
      </c>
      <c r="S57" s="2" t="n">
        <v>8000</v>
      </c>
      <c r="T57" s="4" t="n">
        <f aca="false">P57*R57*Assumptions!$B$10/1000</f>
        <v>409.6</v>
      </c>
      <c r="U57" s="4" t="n">
        <f aca="false">IF(ISNUMBER(S57),P57*S57*Assumptions!$B$10/1000,"N/A")</f>
        <v>512</v>
      </c>
      <c r="V57" s="5" t="n">
        <f aca="false">F57*Q57*IF(N57="E-core (Sierra Forest)",Assumptions!$B$8,Assumptions!$B$4)/1000</f>
        <v>2.9696</v>
      </c>
      <c r="W57" s="5" t="n">
        <f aca="false">F57*Q57*IF(N57="E-core (Sierra Forest)",Assumptions!$B$9,Assumptions!$B$5)/1000</f>
        <v>5.9392</v>
      </c>
      <c r="X57" s="4" t="n">
        <f aca="false">IF(N57="E-core (Sierra Forest)","N/A (no AMX)",F57*Q57*Assumptions!$B$6/1000)</f>
        <v>95.0272</v>
      </c>
      <c r="Y57" s="4" t="n">
        <f aca="false">IF(N57="E-core (Sierra Forest)","N/A (no AMX)",F57*Q57*Assumptions!$B$7/1000)</f>
        <v>190.0544</v>
      </c>
      <c r="Z57" s="2" t="s">
        <v>38</v>
      </c>
    </row>
    <row r="58" customFormat="false" ht="32.8" hidden="false" customHeight="false" outlineLevel="0" collapsed="false">
      <c r="A58" s="2" t="s">
        <v>110</v>
      </c>
      <c r="B58" s="2" t="s">
        <v>128</v>
      </c>
      <c r="C58" s="2" t="s">
        <v>129</v>
      </c>
      <c r="D58" s="3" t="s">
        <v>29</v>
      </c>
      <c r="E58" s="2" t="s">
        <v>115</v>
      </c>
      <c r="F58" s="2" t="n">
        <v>96</v>
      </c>
      <c r="G58" s="2" t="n">
        <v>250</v>
      </c>
      <c r="H58" s="2" t="s">
        <v>54</v>
      </c>
      <c r="I58" s="2" t="s">
        <v>58</v>
      </c>
      <c r="J58" s="2"/>
      <c r="K58" s="2" t="s">
        <v>116</v>
      </c>
      <c r="L58" s="2" t="s">
        <v>130</v>
      </c>
      <c r="M58" s="2" t="s">
        <v>131</v>
      </c>
      <c r="N58" s="2" t="s">
        <v>117</v>
      </c>
      <c r="O58" s="2" t="s">
        <v>118</v>
      </c>
      <c r="P58" s="2" t="n">
        <v>8</v>
      </c>
      <c r="Q58" s="4" t="n">
        <v>2.4</v>
      </c>
      <c r="R58" s="2" t="n">
        <v>6400</v>
      </c>
      <c r="S58" s="2" t="s">
        <v>119</v>
      </c>
      <c r="T58" s="4" t="n">
        <f aca="false">P58*R58*Assumptions!$B$10/1000</f>
        <v>409.6</v>
      </c>
      <c r="U58" s="4" t="str">
        <f aca="false">IF(ISNUMBER(S58),P58*S58*Assumptions!$B$10/1000,"N/A")</f>
        <v>N/A</v>
      </c>
      <c r="V58" s="5" t="n">
        <f aca="false">F58*Q58*IF(N58="E-core (Sierra Forest)",Assumptions!$B$8,Assumptions!$B$4)/1000</f>
        <v>3.6864</v>
      </c>
      <c r="W58" s="5" t="n">
        <f aca="false">F58*Q58*IF(N58="E-core (Sierra Forest)",Assumptions!$B$9,Assumptions!$B$5)/1000</f>
        <v>7.3728</v>
      </c>
      <c r="X58" s="4" t="str">
        <f aca="false">IF(N58="E-core (Sierra Forest)","N/A (no AMX)",F58*Q58*Assumptions!$B$6/1000)</f>
        <v>N/A (no AMX)</v>
      </c>
      <c r="Y58" s="4" t="str">
        <f aca="false">IF(N58="E-core (Sierra Forest)","N/A (no AMX)",F58*Q58*Assumptions!$B$7/1000)</f>
        <v>N/A (no AMX)</v>
      </c>
      <c r="Z58" s="2" t="s">
        <v>38</v>
      </c>
    </row>
    <row r="59" customFormat="false" ht="32.8" hidden="false" customHeight="false" outlineLevel="0" collapsed="false">
      <c r="A59" s="2" t="s">
        <v>110</v>
      </c>
      <c r="B59" s="2" t="s">
        <v>128</v>
      </c>
      <c r="C59" s="2" t="s">
        <v>129</v>
      </c>
      <c r="D59" s="6" t="s">
        <v>39</v>
      </c>
      <c r="E59" s="2" t="s">
        <v>120</v>
      </c>
      <c r="F59" s="2" t="n">
        <v>96</v>
      </c>
      <c r="G59" s="2" t="n">
        <v>400</v>
      </c>
      <c r="H59" s="2" t="s">
        <v>98</v>
      </c>
      <c r="I59" s="2" t="s">
        <v>58</v>
      </c>
      <c r="J59" s="2" t="s">
        <v>47</v>
      </c>
      <c r="K59" s="2"/>
      <c r="L59" s="2" t="s">
        <v>130</v>
      </c>
      <c r="M59" s="2" t="s">
        <v>131</v>
      </c>
      <c r="N59" s="2" t="s">
        <v>36</v>
      </c>
      <c r="O59" s="2" t="s">
        <v>48</v>
      </c>
      <c r="P59" s="2" t="n">
        <v>12</v>
      </c>
      <c r="Q59" s="4" t="n">
        <v>2.1</v>
      </c>
      <c r="R59" s="2" t="n">
        <v>6400</v>
      </c>
      <c r="S59" s="2" t="n">
        <v>8800</v>
      </c>
      <c r="T59" s="4" t="n">
        <f aca="false">P59*R59*Assumptions!$B$10/1000</f>
        <v>614.4</v>
      </c>
      <c r="U59" s="4" t="n">
        <f aca="false">IF(ISNUMBER(S59),P59*S59*Assumptions!$B$10/1000,"N/A")</f>
        <v>844.8</v>
      </c>
      <c r="V59" s="5" t="n">
        <f aca="false">F59*Q59*IF(N59="E-core (Sierra Forest)",Assumptions!$B$8,Assumptions!$B$4)/1000</f>
        <v>6.4512</v>
      </c>
      <c r="W59" s="5" t="n">
        <f aca="false">F59*Q59*IF(N59="E-core (Sierra Forest)",Assumptions!$B$9,Assumptions!$B$5)/1000</f>
        <v>12.9024</v>
      </c>
      <c r="X59" s="4" t="n">
        <f aca="false">IF(N59="E-core (Sierra Forest)","N/A (no AMX)",F59*Q59*Assumptions!$B$6/1000)</f>
        <v>206.4384</v>
      </c>
      <c r="Y59" s="4" t="n">
        <f aca="false">IF(N59="E-core (Sierra Forest)","N/A (no AMX)",F59*Q59*Assumptions!$B$7/1000)</f>
        <v>412.8768</v>
      </c>
      <c r="Z59" s="2" t="s">
        <v>38</v>
      </c>
    </row>
    <row r="60" customFormat="false" ht="32.8" hidden="false" customHeight="false" outlineLevel="0" collapsed="false">
      <c r="A60" s="2" t="s">
        <v>110</v>
      </c>
      <c r="B60" s="2" t="s">
        <v>128</v>
      </c>
      <c r="C60" s="2" t="s">
        <v>129</v>
      </c>
      <c r="D60" s="6" t="s">
        <v>39</v>
      </c>
      <c r="E60" s="2" t="s">
        <v>121</v>
      </c>
      <c r="F60" s="2" t="n">
        <v>64</v>
      </c>
      <c r="G60" s="2" t="n">
        <v>330</v>
      </c>
      <c r="H60" s="2" t="s">
        <v>122</v>
      </c>
      <c r="I60" s="2" t="s">
        <v>123</v>
      </c>
      <c r="J60" s="2" t="s">
        <v>47</v>
      </c>
      <c r="K60" s="2"/>
      <c r="L60" s="2" t="s">
        <v>130</v>
      </c>
      <c r="M60" s="2" t="s">
        <v>131</v>
      </c>
      <c r="N60" s="2" t="s">
        <v>36</v>
      </c>
      <c r="O60" s="2" t="s">
        <v>37</v>
      </c>
      <c r="P60" s="2" t="n">
        <v>8</v>
      </c>
      <c r="Q60" s="4" t="n">
        <v>2.2</v>
      </c>
      <c r="R60" s="2" t="n">
        <v>6400</v>
      </c>
      <c r="S60" s="2" t="n">
        <v>8000</v>
      </c>
      <c r="T60" s="4" t="n">
        <f aca="false">P60*R60*Assumptions!$B$10/1000</f>
        <v>409.6</v>
      </c>
      <c r="U60" s="4" t="n">
        <f aca="false">IF(ISNUMBER(S60),P60*S60*Assumptions!$B$10/1000,"N/A")</f>
        <v>512</v>
      </c>
      <c r="V60" s="5" t="n">
        <f aca="false">F60*Q60*IF(N60="E-core (Sierra Forest)",Assumptions!$B$8,Assumptions!$B$4)/1000</f>
        <v>4.5056</v>
      </c>
      <c r="W60" s="5" t="n">
        <f aca="false">F60*Q60*IF(N60="E-core (Sierra Forest)",Assumptions!$B$9,Assumptions!$B$5)/1000</f>
        <v>9.0112</v>
      </c>
      <c r="X60" s="4" t="n">
        <f aca="false">IF(N60="E-core (Sierra Forest)","N/A (no AMX)",F60*Q60*Assumptions!$B$6/1000)</f>
        <v>144.1792</v>
      </c>
      <c r="Y60" s="4" t="n">
        <f aca="false">IF(N60="E-core (Sierra Forest)","N/A (no AMX)",F60*Q60*Assumptions!$B$7/1000)</f>
        <v>288.3584</v>
      </c>
      <c r="Z60" s="2" t="s">
        <v>38</v>
      </c>
    </row>
    <row r="61" customFormat="false" ht="32.8" hidden="false" customHeight="false" outlineLevel="0" collapsed="false">
      <c r="A61" s="2" t="s">
        <v>110</v>
      </c>
      <c r="B61" s="2" t="s">
        <v>128</v>
      </c>
      <c r="C61" s="2" t="s">
        <v>129</v>
      </c>
      <c r="D61" s="6" t="s">
        <v>39</v>
      </c>
      <c r="E61" s="2" t="s">
        <v>124</v>
      </c>
      <c r="F61" s="2" t="n">
        <v>128</v>
      </c>
      <c r="G61" s="2" t="n">
        <v>225</v>
      </c>
      <c r="H61" s="2" t="s">
        <v>125</v>
      </c>
      <c r="I61" s="2" t="s">
        <v>63</v>
      </c>
      <c r="J61" s="2"/>
      <c r="K61" s="2" t="s">
        <v>116</v>
      </c>
      <c r="L61" s="2" t="s">
        <v>130</v>
      </c>
      <c r="M61" s="2" t="s">
        <v>131</v>
      </c>
      <c r="N61" s="2" t="s">
        <v>117</v>
      </c>
      <c r="O61" s="2" t="s">
        <v>118</v>
      </c>
      <c r="P61" s="2" t="n">
        <v>8</v>
      </c>
      <c r="Q61" s="4" t="n">
        <v>1.8</v>
      </c>
      <c r="R61" s="2" t="n">
        <v>6400</v>
      </c>
      <c r="S61" s="2" t="s">
        <v>119</v>
      </c>
      <c r="T61" s="4" t="n">
        <f aca="false">P61*R61*Assumptions!$B$10/1000</f>
        <v>409.6</v>
      </c>
      <c r="U61" s="4" t="str">
        <f aca="false">IF(ISNUMBER(S61),P61*S61*Assumptions!$B$10/1000,"N/A")</f>
        <v>N/A</v>
      </c>
      <c r="V61" s="5" t="n">
        <f aca="false">F61*Q61*IF(N61="E-core (Sierra Forest)",Assumptions!$B$8,Assumptions!$B$4)/1000</f>
        <v>3.6864</v>
      </c>
      <c r="W61" s="5" t="n">
        <f aca="false">F61*Q61*IF(N61="E-core (Sierra Forest)",Assumptions!$B$9,Assumptions!$B$5)/1000</f>
        <v>7.3728</v>
      </c>
      <c r="X61" s="4" t="str">
        <f aca="false">IF(N61="E-core (Sierra Forest)","N/A (no AMX)",F61*Q61*Assumptions!$B$6/1000)</f>
        <v>N/A (no AMX)</v>
      </c>
      <c r="Y61" s="4" t="str">
        <f aca="false">IF(N61="E-core (Sierra Forest)","N/A (no AMX)",F61*Q61*Assumptions!$B$7/1000)</f>
        <v>N/A (no AMX)</v>
      </c>
      <c r="Z61" s="2" t="s">
        <v>38</v>
      </c>
    </row>
    <row r="62" customFormat="false" ht="32.8" hidden="false" customHeight="false" outlineLevel="0" collapsed="false">
      <c r="A62" s="2" t="s">
        <v>110</v>
      </c>
      <c r="B62" s="2" t="s">
        <v>128</v>
      </c>
      <c r="C62" s="2" t="s">
        <v>129</v>
      </c>
      <c r="D62" s="7" t="s">
        <v>43</v>
      </c>
      <c r="E62" s="2" t="s">
        <v>56</v>
      </c>
      <c r="F62" s="2" t="n">
        <v>128</v>
      </c>
      <c r="G62" s="2" t="n">
        <v>500</v>
      </c>
      <c r="H62" s="2" t="s">
        <v>57</v>
      </c>
      <c r="I62" s="2" t="s">
        <v>58</v>
      </c>
      <c r="J62" s="2" t="s">
        <v>47</v>
      </c>
      <c r="K62" s="2"/>
      <c r="L62" s="2" t="s">
        <v>130</v>
      </c>
      <c r="M62" s="2" t="s">
        <v>131</v>
      </c>
      <c r="N62" s="2" t="s">
        <v>36</v>
      </c>
      <c r="O62" s="2" t="s">
        <v>48</v>
      </c>
      <c r="P62" s="2" t="n">
        <v>12</v>
      </c>
      <c r="Q62" s="4" t="n">
        <v>2</v>
      </c>
      <c r="R62" s="2" t="n">
        <v>6400</v>
      </c>
      <c r="S62" s="2" t="n">
        <v>8800</v>
      </c>
      <c r="T62" s="4" t="n">
        <f aca="false">P62*R62*Assumptions!$B$10/1000</f>
        <v>614.4</v>
      </c>
      <c r="U62" s="4" t="n">
        <f aca="false">IF(ISNUMBER(S62),P62*S62*Assumptions!$B$10/1000,"N/A")</f>
        <v>844.8</v>
      </c>
      <c r="V62" s="5" t="n">
        <f aca="false">F62*Q62*IF(N62="E-core (Sierra Forest)",Assumptions!$B$8,Assumptions!$B$4)/1000</f>
        <v>8.192</v>
      </c>
      <c r="W62" s="5" t="n">
        <f aca="false">F62*Q62*IF(N62="E-core (Sierra Forest)",Assumptions!$B$9,Assumptions!$B$5)/1000</f>
        <v>16.384</v>
      </c>
      <c r="X62" s="4" t="n">
        <f aca="false">IF(N62="E-core (Sierra Forest)","N/A (no AMX)",F62*Q62*Assumptions!$B$6/1000)</f>
        <v>262.144</v>
      </c>
      <c r="Y62" s="4" t="n">
        <f aca="false">IF(N62="E-core (Sierra Forest)","N/A (no AMX)",F62*Q62*Assumptions!$B$7/1000)</f>
        <v>524.288</v>
      </c>
      <c r="Z62" s="2" t="s">
        <v>38</v>
      </c>
    </row>
    <row r="63" customFormat="false" ht="32.8" hidden="false" customHeight="false" outlineLevel="0" collapsed="false">
      <c r="A63" s="2" t="s">
        <v>110</v>
      </c>
      <c r="B63" s="2" t="s">
        <v>128</v>
      </c>
      <c r="C63" s="2" t="s">
        <v>129</v>
      </c>
      <c r="D63" s="7" t="s">
        <v>43</v>
      </c>
      <c r="E63" s="2" t="s">
        <v>64</v>
      </c>
      <c r="F63" s="2" t="n">
        <v>86</v>
      </c>
      <c r="G63" s="2" t="n">
        <v>350</v>
      </c>
      <c r="H63" s="2" t="s">
        <v>57</v>
      </c>
      <c r="I63" s="2" t="s">
        <v>58</v>
      </c>
      <c r="J63" s="2" t="s">
        <v>46</v>
      </c>
      <c r="K63" s="2"/>
      <c r="L63" s="2" t="s">
        <v>130</v>
      </c>
      <c r="M63" s="2" t="s">
        <v>131</v>
      </c>
      <c r="N63" s="2" t="s">
        <v>36</v>
      </c>
      <c r="O63" s="2" t="s">
        <v>37</v>
      </c>
      <c r="P63" s="2" t="n">
        <v>8</v>
      </c>
      <c r="Q63" s="4" t="n">
        <v>2</v>
      </c>
      <c r="R63" s="2" t="n">
        <v>6400</v>
      </c>
      <c r="S63" s="2" t="n">
        <v>8000</v>
      </c>
      <c r="T63" s="4" t="n">
        <f aca="false">P63*R63*Assumptions!$B$10/1000</f>
        <v>409.6</v>
      </c>
      <c r="U63" s="4" t="n">
        <f aca="false">IF(ISNUMBER(S63),P63*S63*Assumptions!$B$10/1000,"N/A")</f>
        <v>512</v>
      </c>
      <c r="V63" s="5" t="n">
        <f aca="false">F63*Q63*IF(N63="E-core (Sierra Forest)",Assumptions!$B$8,Assumptions!$B$4)/1000</f>
        <v>5.504</v>
      </c>
      <c r="W63" s="5" t="n">
        <f aca="false">F63*Q63*IF(N63="E-core (Sierra Forest)",Assumptions!$B$9,Assumptions!$B$5)/1000</f>
        <v>11.008</v>
      </c>
      <c r="X63" s="4" t="n">
        <f aca="false">IF(N63="E-core (Sierra Forest)","N/A (no AMX)",F63*Q63*Assumptions!$B$6/1000)</f>
        <v>176.128</v>
      </c>
      <c r="Y63" s="4" t="n">
        <f aca="false">IF(N63="E-core (Sierra Forest)","N/A (no AMX)",F63*Q63*Assumptions!$B$7/1000)</f>
        <v>352.256</v>
      </c>
      <c r="Z63" s="2" t="s">
        <v>38</v>
      </c>
    </row>
    <row r="64" customFormat="false" ht="32.8" hidden="false" customHeight="false" outlineLevel="0" collapsed="false">
      <c r="A64" s="2" t="s">
        <v>110</v>
      </c>
      <c r="B64" s="2" t="s">
        <v>128</v>
      </c>
      <c r="C64" s="2" t="s">
        <v>129</v>
      </c>
      <c r="D64" s="7" t="s">
        <v>43</v>
      </c>
      <c r="E64" s="2" t="s">
        <v>126</v>
      </c>
      <c r="F64" s="2" t="n">
        <v>144</v>
      </c>
      <c r="G64" s="2" t="n">
        <v>250</v>
      </c>
      <c r="H64" s="2" t="s">
        <v>127</v>
      </c>
      <c r="I64" s="2" t="s">
        <v>45</v>
      </c>
      <c r="J64" s="2"/>
      <c r="K64" s="2" t="s">
        <v>116</v>
      </c>
      <c r="L64" s="2" t="s">
        <v>130</v>
      </c>
      <c r="M64" s="2" t="s">
        <v>131</v>
      </c>
      <c r="N64" s="2" t="s">
        <v>117</v>
      </c>
      <c r="O64" s="2" t="s">
        <v>118</v>
      </c>
      <c r="P64" s="2" t="n">
        <v>8</v>
      </c>
      <c r="Q64" s="4" t="n">
        <v>1.9</v>
      </c>
      <c r="R64" s="2" t="n">
        <v>6400</v>
      </c>
      <c r="S64" s="2" t="s">
        <v>119</v>
      </c>
      <c r="T64" s="4" t="n">
        <f aca="false">P64*R64*Assumptions!$B$10/1000</f>
        <v>409.6</v>
      </c>
      <c r="U64" s="4" t="str">
        <f aca="false">IF(ISNUMBER(S64),P64*S64*Assumptions!$B$10/1000,"N/A")</f>
        <v>N/A</v>
      </c>
      <c r="V64" s="5" t="n">
        <f aca="false">F64*Q64*IF(N64="E-core (Sierra Forest)",Assumptions!$B$8,Assumptions!$B$4)/1000</f>
        <v>4.3776</v>
      </c>
      <c r="W64" s="5" t="n">
        <f aca="false">F64*Q64*IF(N64="E-core (Sierra Forest)",Assumptions!$B$9,Assumptions!$B$5)/1000</f>
        <v>8.7552</v>
      </c>
      <c r="X64" s="4" t="str">
        <f aca="false">IF(N64="E-core (Sierra Forest)","N/A (no AMX)",F64*Q64*Assumptions!$B$6/1000)</f>
        <v>N/A (no AMX)</v>
      </c>
      <c r="Y64" s="4" t="str">
        <f aca="false">IF(N64="E-core (Sierra Forest)","N/A (no AMX)",F64*Q64*Assumptions!$B$7/1000)</f>
        <v>N/A (no AMX)</v>
      </c>
      <c r="Z64" s="2" t="s">
        <v>38</v>
      </c>
    </row>
    <row r="65" customFormat="false" ht="43.25" hidden="false" customHeight="false" outlineLevel="0" collapsed="false">
      <c r="A65" s="2" t="s">
        <v>110</v>
      </c>
      <c r="B65" s="2" t="s">
        <v>132</v>
      </c>
      <c r="C65" s="2" t="s">
        <v>133</v>
      </c>
      <c r="D65" s="3" t="s">
        <v>29</v>
      </c>
      <c r="E65" s="2" t="s">
        <v>134</v>
      </c>
      <c r="F65" s="2" t="n">
        <v>32</v>
      </c>
      <c r="G65" s="2" t="n">
        <v>350</v>
      </c>
      <c r="H65" s="2" t="s">
        <v>46</v>
      </c>
      <c r="I65" s="2" t="s">
        <v>32</v>
      </c>
      <c r="J65" s="2" t="s">
        <v>33</v>
      </c>
      <c r="K65" s="2"/>
      <c r="L65" s="2" t="s">
        <v>135</v>
      </c>
      <c r="M65" s="2" t="s">
        <v>136</v>
      </c>
      <c r="N65" s="2" t="s">
        <v>36</v>
      </c>
      <c r="O65" s="2" t="s">
        <v>37</v>
      </c>
      <c r="P65" s="2" t="n">
        <v>8</v>
      </c>
      <c r="Q65" s="4" t="n">
        <v>3.8</v>
      </c>
      <c r="R65" s="2" t="n">
        <v>6400</v>
      </c>
      <c r="S65" s="2" t="n">
        <v>8000</v>
      </c>
      <c r="T65" s="4" t="n">
        <f aca="false">P65*R65*Assumptions!$B$10/1000</f>
        <v>409.6</v>
      </c>
      <c r="U65" s="4" t="n">
        <f aca="false">IF(ISNUMBER(S65),P65*S65*Assumptions!$B$10/1000,"N/A")</f>
        <v>512</v>
      </c>
      <c r="V65" s="5" t="n">
        <f aca="false">F65*Q65*IF(N65="E-core (Sierra Forest)",Assumptions!$B$8,Assumptions!$B$4)/1000</f>
        <v>3.8912</v>
      </c>
      <c r="W65" s="5" t="n">
        <f aca="false">F65*Q65*IF(N65="E-core (Sierra Forest)",Assumptions!$B$9,Assumptions!$B$5)/1000</f>
        <v>7.7824</v>
      </c>
      <c r="X65" s="4" t="n">
        <f aca="false">IF(N65="E-core (Sierra Forest)","N/A (no AMX)",F65*Q65*Assumptions!$B$6/1000)</f>
        <v>124.5184</v>
      </c>
      <c r="Y65" s="4" t="n">
        <f aca="false">IF(N65="E-core (Sierra Forest)","N/A (no AMX)",F65*Q65*Assumptions!$B$7/1000)</f>
        <v>249.0368</v>
      </c>
      <c r="Z65" s="2" t="s">
        <v>38</v>
      </c>
    </row>
    <row r="66" customFormat="false" ht="43.25" hidden="false" customHeight="false" outlineLevel="0" collapsed="false">
      <c r="A66" s="2" t="s">
        <v>110</v>
      </c>
      <c r="B66" s="2" t="s">
        <v>132</v>
      </c>
      <c r="C66" s="2" t="s">
        <v>133</v>
      </c>
      <c r="D66" s="3" t="s">
        <v>29</v>
      </c>
      <c r="E66" s="2" t="s">
        <v>107</v>
      </c>
      <c r="F66" s="2" t="n">
        <v>32</v>
      </c>
      <c r="G66" s="2" t="n">
        <v>300</v>
      </c>
      <c r="H66" s="2" t="s">
        <v>108</v>
      </c>
      <c r="I66" s="2" t="s">
        <v>109</v>
      </c>
      <c r="J66" s="2" t="s">
        <v>33</v>
      </c>
      <c r="K66" s="2"/>
      <c r="L66" s="2" t="s">
        <v>135</v>
      </c>
      <c r="M66" s="2" t="s">
        <v>136</v>
      </c>
      <c r="N66" s="2" t="s">
        <v>36</v>
      </c>
      <c r="O66" s="2" t="s">
        <v>37</v>
      </c>
      <c r="P66" s="2" t="n">
        <v>8</v>
      </c>
      <c r="Q66" s="4" t="n">
        <v>3.1</v>
      </c>
      <c r="R66" s="2" t="n">
        <v>6400</v>
      </c>
      <c r="S66" s="2" t="n">
        <v>8000</v>
      </c>
      <c r="T66" s="4" t="n">
        <f aca="false">P66*R66*Assumptions!$B$10/1000</f>
        <v>409.6</v>
      </c>
      <c r="U66" s="4" t="n">
        <f aca="false">IF(ISNUMBER(S66),P66*S66*Assumptions!$B$10/1000,"N/A")</f>
        <v>512</v>
      </c>
      <c r="V66" s="5" t="n">
        <f aca="false">F66*Q66*IF(N66="E-core (Sierra Forest)",Assumptions!$B$8,Assumptions!$B$4)/1000</f>
        <v>3.1744</v>
      </c>
      <c r="W66" s="5" t="n">
        <f aca="false">F66*Q66*IF(N66="E-core (Sierra Forest)",Assumptions!$B$9,Assumptions!$B$5)/1000</f>
        <v>6.3488</v>
      </c>
      <c r="X66" s="4" t="n">
        <f aca="false">IF(N66="E-core (Sierra Forest)","N/A (no AMX)",F66*Q66*Assumptions!$B$6/1000)</f>
        <v>101.5808</v>
      </c>
      <c r="Y66" s="4" t="n">
        <f aca="false">IF(N66="E-core (Sierra Forest)","N/A (no AMX)",F66*Q66*Assumptions!$B$7/1000)</f>
        <v>203.1616</v>
      </c>
      <c r="Z66" s="2" t="s">
        <v>38</v>
      </c>
    </row>
    <row r="67" customFormat="false" ht="43.25" hidden="false" customHeight="false" outlineLevel="0" collapsed="false">
      <c r="A67" s="2" t="s">
        <v>110</v>
      </c>
      <c r="B67" s="2" t="s">
        <v>132</v>
      </c>
      <c r="C67" s="2" t="s">
        <v>133</v>
      </c>
      <c r="D67" s="6" t="s">
        <v>39</v>
      </c>
      <c r="E67" s="2" t="s">
        <v>121</v>
      </c>
      <c r="F67" s="2" t="n">
        <v>64</v>
      </c>
      <c r="G67" s="2" t="n">
        <v>330</v>
      </c>
      <c r="H67" s="2" t="s">
        <v>122</v>
      </c>
      <c r="I67" s="2" t="s">
        <v>123</v>
      </c>
      <c r="J67" s="2" t="s">
        <v>47</v>
      </c>
      <c r="K67" s="2"/>
      <c r="L67" s="2" t="s">
        <v>135</v>
      </c>
      <c r="M67" s="2" t="s">
        <v>136</v>
      </c>
      <c r="N67" s="2" t="s">
        <v>36</v>
      </c>
      <c r="O67" s="2" t="s">
        <v>37</v>
      </c>
      <c r="P67" s="2" t="n">
        <v>8</v>
      </c>
      <c r="Q67" s="4" t="n">
        <v>2.2</v>
      </c>
      <c r="R67" s="2" t="n">
        <v>6400</v>
      </c>
      <c r="S67" s="2" t="n">
        <v>8000</v>
      </c>
      <c r="T67" s="4" t="n">
        <f aca="false">P67*R67*Assumptions!$B$10/1000</f>
        <v>409.6</v>
      </c>
      <c r="U67" s="4" t="n">
        <f aca="false">IF(ISNUMBER(S67),P67*S67*Assumptions!$B$10/1000,"N/A")</f>
        <v>512</v>
      </c>
      <c r="V67" s="5" t="n">
        <f aca="false">F67*Q67*IF(N67="E-core (Sierra Forest)",Assumptions!$B$8,Assumptions!$B$4)/1000</f>
        <v>4.5056</v>
      </c>
      <c r="W67" s="5" t="n">
        <f aca="false">F67*Q67*IF(N67="E-core (Sierra Forest)",Assumptions!$B$9,Assumptions!$B$5)/1000</f>
        <v>9.0112</v>
      </c>
      <c r="X67" s="4" t="n">
        <f aca="false">IF(N67="E-core (Sierra Forest)","N/A (no AMX)",F67*Q67*Assumptions!$B$6/1000)</f>
        <v>144.1792</v>
      </c>
      <c r="Y67" s="4" t="n">
        <f aca="false">IF(N67="E-core (Sierra Forest)","N/A (no AMX)",F67*Q67*Assumptions!$B$7/1000)</f>
        <v>288.3584</v>
      </c>
      <c r="Z67" s="2" t="s">
        <v>38</v>
      </c>
    </row>
    <row r="68" customFormat="false" ht="43.25" hidden="false" customHeight="false" outlineLevel="0" collapsed="false">
      <c r="A68" s="2" t="s">
        <v>110</v>
      </c>
      <c r="B68" s="2" t="s">
        <v>132</v>
      </c>
      <c r="C68" s="2" t="s">
        <v>133</v>
      </c>
      <c r="D68" s="6" t="s">
        <v>39</v>
      </c>
      <c r="E68" s="2" t="s">
        <v>60</v>
      </c>
      <c r="F68" s="2" t="n">
        <v>48</v>
      </c>
      <c r="G68" s="2" t="n">
        <v>330</v>
      </c>
      <c r="H68" s="2" t="s">
        <v>45</v>
      </c>
      <c r="I68" s="2" t="s">
        <v>46</v>
      </c>
      <c r="J68" s="2" t="s">
        <v>47</v>
      </c>
      <c r="K68" s="2"/>
      <c r="L68" s="2" t="s">
        <v>135</v>
      </c>
      <c r="M68" s="2" t="s">
        <v>136</v>
      </c>
      <c r="N68" s="2" t="s">
        <v>36</v>
      </c>
      <c r="O68" s="2" t="s">
        <v>37</v>
      </c>
      <c r="P68" s="2" t="n">
        <v>8</v>
      </c>
      <c r="Q68" s="4" t="n">
        <v>2.7</v>
      </c>
      <c r="R68" s="2" t="n">
        <v>6400</v>
      </c>
      <c r="S68" s="2" t="n">
        <v>8000</v>
      </c>
      <c r="T68" s="4" t="n">
        <f aca="false">P68*R68*Assumptions!$B$10/1000</f>
        <v>409.6</v>
      </c>
      <c r="U68" s="4" t="n">
        <f aca="false">IF(ISNUMBER(S68),P68*S68*Assumptions!$B$10/1000,"N/A")</f>
        <v>512</v>
      </c>
      <c r="V68" s="5" t="n">
        <f aca="false">F68*Q68*IF(N68="E-core (Sierra Forest)",Assumptions!$B$8,Assumptions!$B$4)/1000</f>
        <v>4.1472</v>
      </c>
      <c r="W68" s="5" t="n">
        <f aca="false">F68*Q68*IF(N68="E-core (Sierra Forest)",Assumptions!$B$9,Assumptions!$B$5)/1000</f>
        <v>8.2944</v>
      </c>
      <c r="X68" s="4" t="n">
        <f aca="false">IF(N68="E-core (Sierra Forest)","N/A (no AMX)",F68*Q68*Assumptions!$B$6/1000)</f>
        <v>132.7104</v>
      </c>
      <c r="Y68" s="4" t="n">
        <f aca="false">IF(N68="E-core (Sierra Forest)","N/A (no AMX)",F68*Q68*Assumptions!$B$7/1000)</f>
        <v>265.4208</v>
      </c>
      <c r="Z68" s="2" t="s">
        <v>38</v>
      </c>
    </row>
    <row r="69" customFormat="false" ht="43.25" hidden="false" customHeight="false" outlineLevel="0" collapsed="false">
      <c r="A69" s="2" t="s">
        <v>110</v>
      </c>
      <c r="B69" s="2" t="s">
        <v>132</v>
      </c>
      <c r="C69" s="2" t="s">
        <v>133</v>
      </c>
      <c r="D69" s="7" t="s">
        <v>43</v>
      </c>
      <c r="E69" s="2" t="s">
        <v>53</v>
      </c>
      <c r="F69" s="2" t="n">
        <v>96</v>
      </c>
      <c r="G69" s="2" t="n">
        <v>500</v>
      </c>
      <c r="H69" s="2" t="s">
        <v>54</v>
      </c>
      <c r="I69" s="2" t="s">
        <v>55</v>
      </c>
      <c r="J69" s="2" t="s">
        <v>46</v>
      </c>
      <c r="K69" s="2"/>
      <c r="L69" s="2" t="s">
        <v>135</v>
      </c>
      <c r="M69" s="2" t="s">
        <v>136</v>
      </c>
      <c r="N69" s="2" t="s">
        <v>36</v>
      </c>
      <c r="O69" s="2" t="s">
        <v>48</v>
      </c>
      <c r="P69" s="2" t="n">
        <v>12</v>
      </c>
      <c r="Q69" s="4" t="n">
        <v>2.4</v>
      </c>
      <c r="R69" s="2" t="n">
        <v>6400</v>
      </c>
      <c r="S69" s="2" t="n">
        <v>8800</v>
      </c>
      <c r="T69" s="4" t="n">
        <f aca="false">P69*R69*Assumptions!$B$10/1000</f>
        <v>614.4</v>
      </c>
      <c r="U69" s="4" t="n">
        <f aca="false">IF(ISNUMBER(S69),P69*S69*Assumptions!$B$10/1000,"N/A")</f>
        <v>844.8</v>
      </c>
      <c r="V69" s="5" t="n">
        <f aca="false">F69*Q69*IF(N69="E-core (Sierra Forest)",Assumptions!$B$8,Assumptions!$B$4)/1000</f>
        <v>7.3728</v>
      </c>
      <c r="W69" s="5" t="n">
        <f aca="false">F69*Q69*IF(N69="E-core (Sierra Forest)",Assumptions!$B$9,Assumptions!$B$5)/1000</f>
        <v>14.7456</v>
      </c>
      <c r="X69" s="4" t="n">
        <f aca="false">IF(N69="E-core (Sierra Forest)","N/A (no AMX)",F69*Q69*Assumptions!$B$6/1000)</f>
        <v>235.9296</v>
      </c>
      <c r="Y69" s="4" t="n">
        <f aca="false">IF(N69="E-core (Sierra Forest)","N/A (no AMX)",F69*Q69*Assumptions!$B$7/1000)</f>
        <v>471.8592</v>
      </c>
      <c r="Z69" s="2" t="s">
        <v>38</v>
      </c>
    </row>
    <row r="70" customFormat="false" ht="43.25" hidden="false" customHeight="false" outlineLevel="0" collapsed="false">
      <c r="A70" s="2" t="s">
        <v>110</v>
      </c>
      <c r="B70" s="2" t="s">
        <v>132</v>
      </c>
      <c r="C70" s="2" t="s">
        <v>133</v>
      </c>
      <c r="D70" s="7" t="s">
        <v>43</v>
      </c>
      <c r="E70" s="2" t="s">
        <v>62</v>
      </c>
      <c r="F70" s="2" t="n">
        <v>64</v>
      </c>
      <c r="G70" s="2" t="n">
        <v>350</v>
      </c>
      <c r="H70" s="2" t="s">
        <v>63</v>
      </c>
      <c r="I70" s="2" t="s">
        <v>31</v>
      </c>
      <c r="J70" s="2" t="s">
        <v>47</v>
      </c>
      <c r="K70" s="2"/>
      <c r="L70" s="2" t="s">
        <v>135</v>
      </c>
      <c r="M70" s="2" t="s">
        <v>136</v>
      </c>
      <c r="N70" s="2" t="s">
        <v>36</v>
      </c>
      <c r="O70" s="2" t="s">
        <v>37</v>
      </c>
      <c r="P70" s="2" t="n">
        <v>8</v>
      </c>
      <c r="Q70" s="4" t="n">
        <v>2.6</v>
      </c>
      <c r="R70" s="2" t="n">
        <v>6400</v>
      </c>
      <c r="S70" s="2" t="n">
        <v>8000</v>
      </c>
      <c r="T70" s="4" t="n">
        <f aca="false">P70*R70*Assumptions!$B$10/1000</f>
        <v>409.6</v>
      </c>
      <c r="U70" s="4" t="n">
        <f aca="false">IF(ISNUMBER(S70),P70*S70*Assumptions!$B$10/1000,"N/A")</f>
        <v>512</v>
      </c>
      <c r="V70" s="5" t="n">
        <f aca="false">F70*Q70*IF(N70="E-core (Sierra Forest)",Assumptions!$B$8,Assumptions!$B$4)/1000</f>
        <v>5.3248</v>
      </c>
      <c r="W70" s="5" t="n">
        <f aca="false">F70*Q70*IF(N70="E-core (Sierra Forest)",Assumptions!$B$9,Assumptions!$B$5)/1000</f>
        <v>10.6496</v>
      </c>
      <c r="X70" s="4" t="n">
        <f aca="false">IF(N70="E-core (Sierra Forest)","N/A (no AMX)",F70*Q70*Assumptions!$B$6/1000)</f>
        <v>170.3936</v>
      </c>
      <c r="Y70" s="4" t="n">
        <f aca="false">IF(N70="E-core (Sierra Forest)","N/A (no AMX)",F70*Q70*Assumptions!$B$7/1000)</f>
        <v>340.7872</v>
      </c>
      <c r="Z70" s="2" t="s">
        <v>38</v>
      </c>
    </row>
    <row r="71" customFormat="false" ht="32.8" hidden="false" customHeight="false" outlineLevel="0" collapsed="false">
      <c r="A71" s="2" t="s">
        <v>137</v>
      </c>
      <c r="B71" s="2" t="s">
        <v>138</v>
      </c>
      <c r="C71" s="2" t="s">
        <v>139</v>
      </c>
      <c r="D71" s="3" t="s">
        <v>29</v>
      </c>
      <c r="E71" s="2" t="s">
        <v>60</v>
      </c>
      <c r="F71" s="2" t="n">
        <v>48</v>
      </c>
      <c r="G71" s="2" t="n">
        <v>330</v>
      </c>
      <c r="H71" s="2" t="s">
        <v>45</v>
      </c>
      <c r="I71" s="2" t="s">
        <v>46</v>
      </c>
      <c r="J71" s="2" t="s">
        <v>47</v>
      </c>
      <c r="K71" s="2"/>
      <c r="L71" s="2" t="s">
        <v>140</v>
      </c>
      <c r="M71" s="2" t="s">
        <v>141</v>
      </c>
      <c r="N71" s="2" t="s">
        <v>36</v>
      </c>
      <c r="O71" s="2" t="s">
        <v>37</v>
      </c>
      <c r="P71" s="2" t="n">
        <v>8</v>
      </c>
      <c r="Q71" s="4" t="n">
        <v>2.7</v>
      </c>
      <c r="R71" s="2" t="n">
        <v>6400</v>
      </c>
      <c r="S71" s="2" t="n">
        <v>8000</v>
      </c>
      <c r="T71" s="4" t="n">
        <f aca="false">P71*R71*Assumptions!$B$10/1000</f>
        <v>409.6</v>
      </c>
      <c r="U71" s="4" t="n">
        <f aca="false">IF(ISNUMBER(S71),P71*S71*Assumptions!$B$10/1000,"N/A")</f>
        <v>512</v>
      </c>
      <c r="V71" s="5" t="n">
        <f aca="false">F71*Q71*IF(N71="E-core (Sierra Forest)",Assumptions!$B$8,Assumptions!$B$4)/1000</f>
        <v>4.1472</v>
      </c>
      <c r="W71" s="5" t="n">
        <f aca="false">F71*Q71*IF(N71="E-core (Sierra Forest)",Assumptions!$B$9,Assumptions!$B$5)/1000</f>
        <v>8.2944</v>
      </c>
      <c r="X71" s="4" t="n">
        <f aca="false">IF(N71="E-core (Sierra Forest)","N/A (no AMX)",F71*Q71*Assumptions!$B$6/1000)</f>
        <v>132.7104</v>
      </c>
      <c r="Y71" s="4" t="n">
        <f aca="false">IF(N71="E-core (Sierra Forest)","N/A (no AMX)",F71*Q71*Assumptions!$B$7/1000)</f>
        <v>265.4208</v>
      </c>
      <c r="Z71" s="2" t="s">
        <v>38</v>
      </c>
    </row>
    <row r="72" customFormat="false" ht="32.8" hidden="false" customHeight="false" outlineLevel="0" collapsed="false">
      <c r="A72" s="2" t="s">
        <v>137</v>
      </c>
      <c r="B72" s="2" t="s">
        <v>138</v>
      </c>
      <c r="C72" s="2" t="s">
        <v>139</v>
      </c>
      <c r="D72" s="3" t="s">
        <v>29</v>
      </c>
      <c r="E72" s="2" t="s">
        <v>134</v>
      </c>
      <c r="F72" s="2" t="n">
        <v>32</v>
      </c>
      <c r="G72" s="2" t="n">
        <v>350</v>
      </c>
      <c r="H72" s="2" t="s">
        <v>46</v>
      </c>
      <c r="I72" s="2" t="s">
        <v>32</v>
      </c>
      <c r="J72" s="2" t="s">
        <v>33</v>
      </c>
      <c r="K72" s="2"/>
      <c r="L72" s="2" t="s">
        <v>140</v>
      </c>
      <c r="M72" s="2" t="s">
        <v>141</v>
      </c>
      <c r="N72" s="2" t="s">
        <v>36</v>
      </c>
      <c r="O72" s="2" t="s">
        <v>37</v>
      </c>
      <c r="P72" s="2" t="n">
        <v>8</v>
      </c>
      <c r="Q72" s="4" t="n">
        <v>3.8</v>
      </c>
      <c r="R72" s="2" t="n">
        <v>6400</v>
      </c>
      <c r="S72" s="2" t="n">
        <v>8000</v>
      </c>
      <c r="T72" s="4" t="n">
        <f aca="false">P72*R72*Assumptions!$B$10/1000</f>
        <v>409.6</v>
      </c>
      <c r="U72" s="4" t="n">
        <f aca="false">IF(ISNUMBER(S72),P72*S72*Assumptions!$B$10/1000,"N/A")</f>
        <v>512</v>
      </c>
      <c r="V72" s="5" t="n">
        <f aca="false">F72*Q72*IF(N72="E-core (Sierra Forest)",Assumptions!$B$8,Assumptions!$B$4)/1000</f>
        <v>3.8912</v>
      </c>
      <c r="W72" s="5" t="n">
        <f aca="false">F72*Q72*IF(N72="E-core (Sierra Forest)",Assumptions!$B$9,Assumptions!$B$5)/1000</f>
        <v>7.7824</v>
      </c>
      <c r="X72" s="4" t="n">
        <f aca="false">IF(N72="E-core (Sierra Forest)","N/A (no AMX)",F72*Q72*Assumptions!$B$6/1000)</f>
        <v>124.5184</v>
      </c>
      <c r="Y72" s="4" t="n">
        <f aca="false">IF(N72="E-core (Sierra Forest)","N/A (no AMX)",F72*Q72*Assumptions!$B$7/1000)</f>
        <v>249.0368</v>
      </c>
      <c r="Z72" s="2" t="s">
        <v>38</v>
      </c>
    </row>
    <row r="73" customFormat="false" ht="32.8" hidden="false" customHeight="false" outlineLevel="0" collapsed="false">
      <c r="A73" s="2" t="s">
        <v>137</v>
      </c>
      <c r="B73" s="2" t="s">
        <v>138</v>
      </c>
      <c r="C73" s="2" t="s">
        <v>139</v>
      </c>
      <c r="D73" s="6" t="s">
        <v>39</v>
      </c>
      <c r="E73" s="2" t="s">
        <v>44</v>
      </c>
      <c r="F73" s="2" t="n">
        <v>72</v>
      </c>
      <c r="G73" s="2" t="n">
        <v>500</v>
      </c>
      <c r="H73" s="2" t="s">
        <v>45</v>
      </c>
      <c r="I73" s="2" t="s">
        <v>46</v>
      </c>
      <c r="J73" s="2" t="s">
        <v>47</v>
      </c>
      <c r="K73" s="2"/>
      <c r="L73" s="2" t="s">
        <v>140</v>
      </c>
      <c r="M73" s="2" t="s">
        <v>141</v>
      </c>
      <c r="N73" s="2" t="s">
        <v>36</v>
      </c>
      <c r="O73" s="2" t="s">
        <v>48</v>
      </c>
      <c r="P73" s="2" t="n">
        <v>12</v>
      </c>
      <c r="Q73" s="4" t="n">
        <v>2.7</v>
      </c>
      <c r="R73" s="2" t="n">
        <v>6400</v>
      </c>
      <c r="S73" s="2" t="n">
        <v>8800</v>
      </c>
      <c r="T73" s="4" t="n">
        <f aca="false">P73*R73*Assumptions!$B$10/1000</f>
        <v>614.4</v>
      </c>
      <c r="U73" s="4" t="n">
        <f aca="false">IF(ISNUMBER(S73),P73*S73*Assumptions!$B$10/1000,"N/A")</f>
        <v>844.8</v>
      </c>
      <c r="V73" s="5" t="n">
        <f aca="false">F73*Q73*IF(N73="E-core (Sierra Forest)",Assumptions!$B$8,Assumptions!$B$4)/1000</f>
        <v>6.2208</v>
      </c>
      <c r="W73" s="5" t="n">
        <f aca="false">F73*Q73*IF(N73="E-core (Sierra Forest)",Assumptions!$B$9,Assumptions!$B$5)/1000</f>
        <v>12.4416</v>
      </c>
      <c r="X73" s="4" t="n">
        <f aca="false">IF(N73="E-core (Sierra Forest)","N/A (no AMX)",F73*Q73*Assumptions!$B$6/1000)</f>
        <v>199.0656</v>
      </c>
      <c r="Y73" s="4" t="n">
        <f aca="false">IF(N73="E-core (Sierra Forest)","N/A (no AMX)",F73*Q73*Assumptions!$B$7/1000)</f>
        <v>398.1312</v>
      </c>
      <c r="Z73" s="2" t="s">
        <v>38</v>
      </c>
    </row>
    <row r="74" customFormat="false" ht="32.8" hidden="false" customHeight="false" outlineLevel="0" collapsed="false">
      <c r="A74" s="2" t="s">
        <v>137</v>
      </c>
      <c r="B74" s="2" t="s">
        <v>138</v>
      </c>
      <c r="C74" s="2" t="s">
        <v>139</v>
      </c>
      <c r="D74" s="6" t="s">
        <v>39</v>
      </c>
      <c r="E74" s="2" t="s">
        <v>62</v>
      </c>
      <c r="F74" s="2" t="n">
        <v>64</v>
      </c>
      <c r="G74" s="2" t="n">
        <v>350</v>
      </c>
      <c r="H74" s="2" t="s">
        <v>54</v>
      </c>
      <c r="I74" s="2" t="s">
        <v>31</v>
      </c>
      <c r="J74" s="2" t="s">
        <v>47</v>
      </c>
      <c r="K74" s="2"/>
      <c r="L74" s="2" t="s">
        <v>140</v>
      </c>
      <c r="M74" s="2" t="s">
        <v>141</v>
      </c>
      <c r="N74" s="2" t="s">
        <v>36</v>
      </c>
      <c r="O74" s="2" t="s">
        <v>37</v>
      </c>
      <c r="P74" s="2" t="n">
        <v>8</v>
      </c>
      <c r="Q74" s="4" t="n">
        <v>2.4</v>
      </c>
      <c r="R74" s="2" t="n">
        <v>6400</v>
      </c>
      <c r="S74" s="2" t="n">
        <v>8000</v>
      </c>
      <c r="T74" s="4" t="n">
        <f aca="false">P74*R74*Assumptions!$B$10/1000</f>
        <v>409.6</v>
      </c>
      <c r="U74" s="4" t="n">
        <f aca="false">IF(ISNUMBER(S74),P74*S74*Assumptions!$B$10/1000,"N/A")</f>
        <v>512</v>
      </c>
      <c r="V74" s="5" t="n">
        <f aca="false">F74*Q74*IF(N74="E-core (Sierra Forest)",Assumptions!$B$8,Assumptions!$B$4)/1000</f>
        <v>4.9152</v>
      </c>
      <c r="W74" s="5" t="n">
        <f aca="false">F74*Q74*IF(N74="E-core (Sierra Forest)",Assumptions!$B$9,Assumptions!$B$5)/1000</f>
        <v>9.8304</v>
      </c>
      <c r="X74" s="4" t="n">
        <f aca="false">IF(N74="E-core (Sierra Forest)","N/A (no AMX)",F74*Q74*Assumptions!$B$6/1000)</f>
        <v>157.2864</v>
      </c>
      <c r="Y74" s="4" t="n">
        <f aca="false">IF(N74="E-core (Sierra Forest)","N/A (no AMX)",F74*Q74*Assumptions!$B$7/1000)</f>
        <v>314.5728</v>
      </c>
      <c r="Z74" s="2" t="s">
        <v>38</v>
      </c>
    </row>
    <row r="75" customFormat="false" ht="32.8" hidden="false" customHeight="false" outlineLevel="0" collapsed="false">
      <c r="A75" s="2" t="s">
        <v>137</v>
      </c>
      <c r="B75" s="2" t="s">
        <v>138</v>
      </c>
      <c r="C75" s="2" t="s">
        <v>139</v>
      </c>
      <c r="D75" s="7" t="s">
        <v>43</v>
      </c>
      <c r="E75" s="2" t="s">
        <v>142</v>
      </c>
      <c r="F75" s="2" t="n">
        <v>72</v>
      </c>
      <c r="G75" s="2" t="n">
        <v>500</v>
      </c>
      <c r="H75" s="2" t="s">
        <v>45</v>
      </c>
      <c r="I75" s="2" t="s">
        <v>47</v>
      </c>
      <c r="J75" s="2" t="s">
        <v>143</v>
      </c>
      <c r="K75" s="2"/>
      <c r="L75" s="2" t="s">
        <v>140</v>
      </c>
      <c r="M75" s="2" t="s">
        <v>141</v>
      </c>
      <c r="N75" s="2" t="s">
        <v>36</v>
      </c>
      <c r="O75" s="2" t="s">
        <v>48</v>
      </c>
      <c r="P75" s="2" t="n">
        <v>12</v>
      </c>
      <c r="Q75" s="4" t="n">
        <v>2.7</v>
      </c>
      <c r="R75" s="2" t="n">
        <v>6400</v>
      </c>
      <c r="S75" s="2" t="n">
        <v>8800</v>
      </c>
      <c r="T75" s="4" t="n">
        <f aca="false">P75*R75*Assumptions!$B$10/1000</f>
        <v>614.4</v>
      </c>
      <c r="U75" s="4" t="n">
        <f aca="false">IF(ISNUMBER(S75),P75*S75*Assumptions!$B$10/1000,"N/A")</f>
        <v>844.8</v>
      </c>
      <c r="V75" s="5" t="n">
        <f aca="false">F75*Q75*IF(N75="E-core (Sierra Forest)",Assumptions!$B$8,Assumptions!$B$4)/1000</f>
        <v>6.2208</v>
      </c>
      <c r="W75" s="5" t="n">
        <f aca="false">F75*Q75*IF(N75="E-core (Sierra Forest)",Assumptions!$B$9,Assumptions!$B$5)/1000</f>
        <v>12.4416</v>
      </c>
      <c r="X75" s="4" t="n">
        <f aca="false">IF(N75="E-core (Sierra Forest)","N/A (no AMX)",F75*Q75*Assumptions!$B$6/1000)</f>
        <v>199.0656</v>
      </c>
      <c r="Y75" s="4" t="n">
        <f aca="false">IF(N75="E-core (Sierra Forest)","N/A (no AMX)",F75*Q75*Assumptions!$B$7/1000)</f>
        <v>398.1312</v>
      </c>
      <c r="Z75" s="2" t="s">
        <v>38</v>
      </c>
    </row>
    <row r="76" customFormat="false" ht="32.8" hidden="false" customHeight="false" outlineLevel="0" collapsed="false">
      <c r="A76" s="2" t="s">
        <v>137</v>
      </c>
      <c r="B76" s="2" t="s">
        <v>138</v>
      </c>
      <c r="C76" s="2" t="s">
        <v>139</v>
      </c>
      <c r="D76" s="7" t="s">
        <v>43</v>
      </c>
      <c r="E76" s="2" t="s">
        <v>144</v>
      </c>
      <c r="F76" s="2" t="n">
        <v>64</v>
      </c>
      <c r="G76" s="2" t="n">
        <v>350</v>
      </c>
      <c r="H76" s="2" t="s">
        <v>145</v>
      </c>
      <c r="I76" s="2" t="s">
        <v>31</v>
      </c>
      <c r="J76" s="2" t="s">
        <v>47</v>
      </c>
      <c r="K76" s="2" t="s">
        <v>146</v>
      </c>
      <c r="L76" s="2" t="s">
        <v>140</v>
      </c>
      <c r="M76" s="2" t="s">
        <v>141</v>
      </c>
      <c r="N76" s="2" t="s">
        <v>36</v>
      </c>
      <c r="O76" s="2" t="s">
        <v>37</v>
      </c>
      <c r="P76" s="2" t="n">
        <v>8</v>
      </c>
      <c r="Q76" s="4" t="n">
        <v>2.3</v>
      </c>
      <c r="R76" s="2" t="n">
        <v>6400</v>
      </c>
      <c r="S76" s="2" t="n">
        <v>8000</v>
      </c>
      <c r="T76" s="4" t="n">
        <f aca="false">P76*R76*Assumptions!$B$10/1000</f>
        <v>409.6</v>
      </c>
      <c r="U76" s="4" t="n">
        <f aca="false">IF(ISNUMBER(S76),P76*S76*Assumptions!$B$10/1000,"N/A")</f>
        <v>512</v>
      </c>
      <c r="V76" s="5" t="n">
        <f aca="false">F76*Q76*IF(N76="E-core (Sierra Forest)",Assumptions!$B$8,Assumptions!$B$4)/1000</f>
        <v>4.7104</v>
      </c>
      <c r="W76" s="5" t="n">
        <f aca="false">F76*Q76*IF(N76="E-core (Sierra Forest)",Assumptions!$B$9,Assumptions!$B$5)/1000</f>
        <v>9.4208</v>
      </c>
      <c r="X76" s="4" t="n">
        <f aca="false">IF(N76="E-core (Sierra Forest)","N/A (no AMX)",F76*Q76*Assumptions!$B$6/1000)</f>
        <v>150.7328</v>
      </c>
      <c r="Y76" s="4" t="n">
        <f aca="false">IF(N76="E-core (Sierra Forest)","N/A (no AMX)",F76*Q76*Assumptions!$B$7/1000)</f>
        <v>301.4656</v>
      </c>
      <c r="Z76" s="2" t="s">
        <v>38</v>
      </c>
    </row>
    <row r="77" customFormat="false" ht="32.8" hidden="false" customHeight="false" outlineLevel="0" collapsed="false">
      <c r="A77" s="2" t="s">
        <v>137</v>
      </c>
      <c r="B77" s="2" t="s">
        <v>147</v>
      </c>
      <c r="C77" s="2" t="s">
        <v>139</v>
      </c>
      <c r="D77" s="3" t="s">
        <v>29</v>
      </c>
      <c r="E77" s="2" t="s">
        <v>60</v>
      </c>
      <c r="F77" s="2" t="n">
        <v>48</v>
      </c>
      <c r="G77" s="2" t="n">
        <v>330</v>
      </c>
      <c r="H77" s="2" t="s">
        <v>45</v>
      </c>
      <c r="I77" s="2" t="s">
        <v>46</v>
      </c>
      <c r="J77" s="2" t="s">
        <v>47</v>
      </c>
      <c r="K77" s="2"/>
      <c r="L77" s="2" t="s">
        <v>148</v>
      </c>
      <c r="M77" s="2" t="s">
        <v>149</v>
      </c>
      <c r="N77" s="2" t="s">
        <v>36</v>
      </c>
      <c r="O77" s="2" t="s">
        <v>37</v>
      </c>
      <c r="P77" s="2" t="n">
        <v>8</v>
      </c>
      <c r="Q77" s="4" t="n">
        <v>2.7</v>
      </c>
      <c r="R77" s="2" t="n">
        <v>6400</v>
      </c>
      <c r="S77" s="2" t="n">
        <v>8000</v>
      </c>
      <c r="T77" s="4" t="n">
        <f aca="false">P77*R77*Assumptions!$B$10/1000</f>
        <v>409.6</v>
      </c>
      <c r="U77" s="4" t="n">
        <f aca="false">IF(ISNUMBER(S77),P77*S77*Assumptions!$B$10/1000,"N/A")</f>
        <v>512</v>
      </c>
      <c r="V77" s="5" t="n">
        <f aca="false">F77*Q77*IF(N77="E-core (Sierra Forest)",Assumptions!$B$8,Assumptions!$B$4)/1000</f>
        <v>4.1472</v>
      </c>
      <c r="W77" s="5" t="n">
        <f aca="false">F77*Q77*IF(N77="E-core (Sierra Forest)",Assumptions!$B$9,Assumptions!$B$5)/1000</f>
        <v>8.2944</v>
      </c>
      <c r="X77" s="4" t="n">
        <f aca="false">IF(N77="E-core (Sierra Forest)","N/A (no AMX)",F77*Q77*Assumptions!$B$6/1000)</f>
        <v>132.7104</v>
      </c>
      <c r="Y77" s="4" t="n">
        <f aca="false">IF(N77="E-core (Sierra Forest)","N/A (no AMX)",F77*Q77*Assumptions!$B$7/1000)</f>
        <v>265.4208</v>
      </c>
      <c r="Z77" s="2" t="s">
        <v>38</v>
      </c>
    </row>
    <row r="78" customFormat="false" ht="32.8" hidden="false" customHeight="false" outlineLevel="0" collapsed="false">
      <c r="A78" s="2" t="s">
        <v>137</v>
      </c>
      <c r="B78" s="2" t="s">
        <v>147</v>
      </c>
      <c r="C78" s="2" t="s">
        <v>139</v>
      </c>
      <c r="D78" s="3" t="s">
        <v>29</v>
      </c>
      <c r="E78" s="2" t="s">
        <v>134</v>
      </c>
      <c r="F78" s="2" t="n">
        <v>32</v>
      </c>
      <c r="G78" s="2" t="n">
        <v>350</v>
      </c>
      <c r="H78" s="2" t="s">
        <v>46</v>
      </c>
      <c r="I78" s="2" t="s">
        <v>32</v>
      </c>
      <c r="J78" s="2" t="s">
        <v>33</v>
      </c>
      <c r="K78" s="2"/>
      <c r="L78" s="2" t="s">
        <v>148</v>
      </c>
      <c r="M78" s="2" t="s">
        <v>149</v>
      </c>
      <c r="N78" s="2" t="s">
        <v>36</v>
      </c>
      <c r="O78" s="2" t="s">
        <v>37</v>
      </c>
      <c r="P78" s="2" t="n">
        <v>8</v>
      </c>
      <c r="Q78" s="4" t="n">
        <v>3.8</v>
      </c>
      <c r="R78" s="2" t="n">
        <v>6400</v>
      </c>
      <c r="S78" s="2" t="n">
        <v>8000</v>
      </c>
      <c r="T78" s="4" t="n">
        <f aca="false">P78*R78*Assumptions!$B$10/1000</f>
        <v>409.6</v>
      </c>
      <c r="U78" s="4" t="n">
        <f aca="false">IF(ISNUMBER(S78),P78*S78*Assumptions!$B$10/1000,"N/A")</f>
        <v>512</v>
      </c>
      <c r="V78" s="5" t="n">
        <f aca="false">F78*Q78*IF(N78="E-core (Sierra Forest)",Assumptions!$B$8,Assumptions!$B$4)/1000</f>
        <v>3.8912</v>
      </c>
      <c r="W78" s="5" t="n">
        <f aca="false">F78*Q78*IF(N78="E-core (Sierra Forest)",Assumptions!$B$9,Assumptions!$B$5)/1000</f>
        <v>7.7824</v>
      </c>
      <c r="X78" s="4" t="n">
        <f aca="false">IF(N78="E-core (Sierra Forest)","N/A (no AMX)",F78*Q78*Assumptions!$B$6/1000)</f>
        <v>124.5184</v>
      </c>
      <c r="Y78" s="4" t="n">
        <f aca="false">IF(N78="E-core (Sierra Forest)","N/A (no AMX)",F78*Q78*Assumptions!$B$7/1000)</f>
        <v>249.0368</v>
      </c>
      <c r="Z78" s="2" t="s">
        <v>38</v>
      </c>
    </row>
    <row r="79" customFormat="false" ht="32.8" hidden="false" customHeight="false" outlineLevel="0" collapsed="false">
      <c r="A79" s="2" t="s">
        <v>137</v>
      </c>
      <c r="B79" s="2" t="s">
        <v>147</v>
      </c>
      <c r="C79" s="2" t="s">
        <v>139</v>
      </c>
      <c r="D79" s="6" t="s">
        <v>39</v>
      </c>
      <c r="E79" s="2" t="s">
        <v>44</v>
      </c>
      <c r="F79" s="2" t="n">
        <v>72</v>
      </c>
      <c r="G79" s="2" t="n">
        <v>500</v>
      </c>
      <c r="H79" s="2" t="s">
        <v>45</v>
      </c>
      <c r="I79" s="2" t="s">
        <v>46</v>
      </c>
      <c r="J79" s="2" t="s">
        <v>47</v>
      </c>
      <c r="K79" s="2"/>
      <c r="L79" s="2" t="s">
        <v>148</v>
      </c>
      <c r="M79" s="2" t="s">
        <v>149</v>
      </c>
      <c r="N79" s="2" t="s">
        <v>36</v>
      </c>
      <c r="O79" s="2" t="s">
        <v>48</v>
      </c>
      <c r="P79" s="2" t="n">
        <v>12</v>
      </c>
      <c r="Q79" s="4" t="n">
        <v>2.7</v>
      </c>
      <c r="R79" s="2" t="n">
        <v>6400</v>
      </c>
      <c r="S79" s="2" t="n">
        <v>8800</v>
      </c>
      <c r="T79" s="4" t="n">
        <f aca="false">P79*R79*Assumptions!$B$10/1000</f>
        <v>614.4</v>
      </c>
      <c r="U79" s="4" t="n">
        <f aca="false">IF(ISNUMBER(S79),P79*S79*Assumptions!$B$10/1000,"N/A")</f>
        <v>844.8</v>
      </c>
      <c r="V79" s="5" t="n">
        <f aca="false">F79*Q79*IF(N79="E-core (Sierra Forest)",Assumptions!$B$8,Assumptions!$B$4)/1000</f>
        <v>6.2208</v>
      </c>
      <c r="W79" s="5" t="n">
        <f aca="false">F79*Q79*IF(N79="E-core (Sierra Forest)",Assumptions!$B$9,Assumptions!$B$5)/1000</f>
        <v>12.4416</v>
      </c>
      <c r="X79" s="4" t="n">
        <f aca="false">IF(N79="E-core (Sierra Forest)","N/A (no AMX)",F79*Q79*Assumptions!$B$6/1000)</f>
        <v>199.0656</v>
      </c>
      <c r="Y79" s="4" t="n">
        <f aca="false">IF(N79="E-core (Sierra Forest)","N/A (no AMX)",F79*Q79*Assumptions!$B$7/1000)</f>
        <v>398.1312</v>
      </c>
      <c r="Z79" s="2" t="s">
        <v>38</v>
      </c>
    </row>
    <row r="80" customFormat="false" ht="32.8" hidden="false" customHeight="false" outlineLevel="0" collapsed="false">
      <c r="A80" s="2" t="s">
        <v>137</v>
      </c>
      <c r="B80" s="2" t="s">
        <v>147</v>
      </c>
      <c r="C80" s="2" t="s">
        <v>139</v>
      </c>
      <c r="D80" s="6" t="s">
        <v>39</v>
      </c>
      <c r="E80" s="2" t="s">
        <v>62</v>
      </c>
      <c r="F80" s="2" t="n">
        <v>64</v>
      </c>
      <c r="G80" s="2" t="n">
        <v>350</v>
      </c>
      <c r="H80" s="2" t="s">
        <v>54</v>
      </c>
      <c r="I80" s="2" t="s">
        <v>31</v>
      </c>
      <c r="J80" s="2" t="s">
        <v>47</v>
      </c>
      <c r="K80" s="2"/>
      <c r="L80" s="2" t="s">
        <v>148</v>
      </c>
      <c r="M80" s="2" t="s">
        <v>149</v>
      </c>
      <c r="N80" s="2" t="s">
        <v>36</v>
      </c>
      <c r="O80" s="2" t="s">
        <v>37</v>
      </c>
      <c r="P80" s="2" t="n">
        <v>8</v>
      </c>
      <c r="Q80" s="4" t="n">
        <v>2.4</v>
      </c>
      <c r="R80" s="2" t="n">
        <v>6400</v>
      </c>
      <c r="S80" s="2" t="n">
        <v>8000</v>
      </c>
      <c r="T80" s="4" t="n">
        <f aca="false">P80*R80*Assumptions!$B$10/1000</f>
        <v>409.6</v>
      </c>
      <c r="U80" s="4" t="n">
        <f aca="false">IF(ISNUMBER(S80),P80*S80*Assumptions!$B$10/1000,"N/A")</f>
        <v>512</v>
      </c>
      <c r="V80" s="5" t="n">
        <f aca="false">F80*Q80*IF(N80="E-core (Sierra Forest)",Assumptions!$B$8,Assumptions!$B$4)/1000</f>
        <v>4.9152</v>
      </c>
      <c r="W80" s="5" t="n">
        <f aca="false">F80*Q80*IF(N80="E-core (Sierra Forest)",Assumptions!$B$9,Assumptions!$B$5)/1000</f>
        <v>9.8304</v>
      </c>
      <c r="X80" s="4" t="n">
        <f aca="false">IF(N80="E-core (Sierra Forest)","N/A (no AMX)",F80*Q80*Assumptions!$B$6/1000)</f>
        <v>157.2864</v>
      </c>
      <c r="Y80" s="4" t="n">
        <f aca="false">IF(N80="E-core (Sierra Forest)","N/A (no AMX)",F80*Q80*Assumptions!$B$7/1000)</f>
        <v>314.5728</v>
      </c>
      <c r="Z80" s="2" t="s">
        <v>38</v>
      </c>
    </row>
    <row r="81" customFormat="false" ht="32.8" hidden="false" customHeight="false" outlineLevel="0" collapsed="false">
      <c r="A81" s="2" t="s">
        <v>137</v>
      </c>
      <c r="B81" s="2" t="s">
        <v>147</v>
      </c>
      <c r="C81" s="2" t="s">
        <v>139</v>
      </c>
      <c r="D81" s="7" t="s">
        <v>43</v>
      </c>
      <c r="E81" s="2" t="s">
        <v>142</v>
      </c>
      <c r="F81" s="2" t="n">
        <v>72</v>
      </c>
      <c r="G81" s="2" t="n">
        <v>500</v>
      </c>
      <c r="H81" s="2" t="s">
        <v>45</v>
      </c>
      <c r="I81" s="2" t="s">
        <v>47</v>
      </c>
      <c r="J81" s="2" t="s">
        <v>143</v>
      </c>
      <c r="K81" s="2"/>
      <c r="L81" s="2" t="s">
        <v>148</v>
      </c>
      <c r="M81" s="2" t="s">
        <v>149</v>
      </c>
      <c r="N81" s="2" t="s">
        <v>36</v>
      </c>
      <c r="O81" s="2" t="s">
        <v>48</v>
      </c>
      <c r="P81" s="2" t="n">
        <v>12</v>
      </c>
      <c r="Q81" s="4" t="n">
        <v>2.7</v>
      </c>
      <c r="R81" s="2" t="n">
        <v>6400</v>
      </c>
      <c r="S81" s="2" t="n">
        <v>8800</v>
      </c>
      <c r="T81" s="4" t="n">
        <f aca="false">P81*R81*Assumptions!$B$10/1000</f>
        <v>614.4</v>
      </c>
      <c r="U81" s="4" t="n">
        <f aca="false">IF(ISNUMBER(S81),P81*S81*Assumptions!$B$10/1000,"N/A")</f>
        <v>844.8</v>
      </c>
      <c r="V81" s="5" t="n">
        <f aca="false">F81*Q81*IF(N81="E-core (Sierra Forest)",Assumptions!$B$8,Assumptions!$B$4)/1000</f>
        <v>6.2208</v>
      </c>
      <c r="W81" s="5" t="n">
        <f aca="false">F81*Q81*IF(N81="E-core (Sierra Forest)",Assumptions!$B$9,Assumptions!$B$5)/1000</f>
        <v>12.4416</v>
      </c>
      <c r="X81" s="4" t="n">
        <f aca="false">IF(N81="E-core (Sierra Forest)","N/A (no AMX)",F81*Q81*Assumptions!$B$6/1000)</f>
        <v>199.0656</v>
      </c>
      <c r="Y81" s="4" t="n">
        <f aca="false">IF(N81="E-core (Sierra Forest)","N/A (no AMX)",F81*Q81*Assumptions!$B$7/1000)</f>
        <v>398.1312</v>
      </c>
      <c r="Z81" s="2" t="s">
        <v>38</v>
      </c>
    </row>
    <row r="82" customFormat="false" ht="32.8" hidden="false" customHeight="false" outlineLevel="0" collapsed="false">
      <c r="A82" s="2" t="s">
        <v>137</v>
      </c>
      <c r="B82" s="2" t="s">
        <v>147</v>
      </c>
      <c r="C82" s="2" t="s">
        <v>139</v>
      </c>
      <c r="D82" s="7" t="s">
        <v>43</v>
      </c>
      <c r="E82" s="2" t="s">
        <v>144</v>
      </c>
      <c r="F82" s="2" t="n">
        <v>64</v>
      </c>
      <c r="G82" s="2" t="n">
        <v>350</v>
      </c>
      <c r="H82" s="2" t="s">
        <v>145</v>
      </c>
      <c r="I82" s="2" t="s">
        <v>31</v>
      </c>
      <c r="J82" s="2" t="s">
        <v>47</v>
      </c>
      <c r="K82" s="2" t="s">
        <v>146</v>
      </c>
      <c r="L82" s="2" t="s">
        <v>148</v>
      </c>
      <c r="M82" s="2" t="s">
        <v>149</v>
      </c>
      <c r="N82" s="2" t="s">
        <v>36</v>
      </c>
      <c r="O82" s="2" t="s">
        <v>37</v>
      </c>
      <c r="P82" s="2" t="n">
        <v>8</v>
      </c>
      <c r="Q82" s="4" t="n">
        <v>2.3</v>
      </c>
      <c r="R82" s="2" t="n">
        <v>6400</v>
      </c>
      <c r="S82" s="2" t="n">
        <v>8000</v>
      </c>
      <c r="T82" s="4" t="n">
        <f aca="false">P82*R82*Assumptions!$B$10/1000</f>
        <v>409.6</v>
      </c>
      <c r="U82" s="4" t="n">
        <f aca="false">IF(ISNUMBER(S82),P82*S82*Assumptions!$B$10/1000,"N/A")</f>
        <v>512</v>
      </c>
      <c r="V82" s="5" t="n">
        <f aca="false">F82*Q82*IF(N82="E-core (Sierra Forest)",Assumptions!$B$8,Assumptions!$B$4)/1000</f>
        <v>4.7104</v>
      </c>
      <c r="W82" s="5" t="n">
        <f aca="false">F82*Q82*IF(N82="E-core (Sierra Forest)",Assumptions!$B$9,Assumptions!$B$5)/1000</f>
        <v>9.4208</v>
      </c>
      <c r="X82" s="4" t="n">
        <f aca="false">IF(N82="E-core (Sierra Forest)","N/A (no AMX)",F82*Q82*Assumptions!$B$6/1000)</f>
        <v>150.7328</v>
      </c>
      <c r="Y82" s="4" t="n">
        <f aca="false">IF(N82="E-core (Sierra Forest)","N/A (no AMX)",F82*Q82*Assumptions!$B$7/1000)</f>
        <v>301.4656</v>
      </c>
      <c r="Z82" s="2" t="s">
        <v>38</v>
      </c>
    </row>
    <row r="83" customFormat="false" ht="43.25" hidden="false" customHeight="false" outlineLevel="0" collapsed="false">
      <c r="A83" s="2" t="s">
        <v>137</v>
      </c>
      <c r="B83" s="2" t="s">
        <v>150</v>
      </c>
      <c r="C83" s="2"/>
      <c r="D83" s="3" t="s">
        <v>29</v>
      </c>
      <c r="E83" s="2" t="s">
        <v>60</v>
      </c>
      <c r="F83" s="2" t="n">
        <v>48</v>
      </c>
      <c r="G83" s="2" t="n">
        <v>330</v>
      </c>
      <c r="H83" s="2" t="s">
        <v>45</v>
      </c>
      <c r="I83" s="2" t="s">
        <v>31</v>
      </c>
      <c r="J83" s="2" t="s">
        <v>47</v>
      </c>
      <c r="K83" s="2"/>
      <c r="L83" s="2" t="s">
        <v>151</v>
      </c>
      <c r="M83" s="2" t="s">
        <v>152</v>
      </c>
      <c r="N83" s="2" t="s">
        <v>36</v>
      </c>
      <c r="O83" s="2" t="s">
        <v>37</v>
      </c>
      <c r="P83" s="2" t="n">
        <v>8</v>
      </c>
      <c r="Q83" s="4" t="n">
        <v>2.7</v>
      </c>
      <c r="R83" s="2" t="n">
        <v>6400</v>
      </c>
      <c r="S83" s="2" t="n">
        <v>8000</v>
      </c>
      <c r="T83" s="4" t="n">
        <f aca="false">P83*R83*Assumptions!$B$10/1000</f>
        <v>409.6</v>
      </c>
      <c r="U83" s="4" t="n">
        <f aca="false">IF(ISNUMBER(S83),P83*S83*Assumptions!$B$10/1000,"N/A")</f>
        <v>512</v>
      </c>
      <c r="V83" s="5" t="n">
        <f aca="false">F83*Q83*IF(N83="E-core (Sierra Forest)",Assumptions!$B$8,Assumptions!$B$4)/1000</f>
        <v>4.1472</v>
      </c>
      <c r="W83" s="5" t="n">
        <f aca="false">F83*Q83*IF(N83="E-core (Sierra Forest)",Assumptions!$B$9,Assumptions!$B$5)/1000</f>
        <v>8.2944</v>
      </c>
      <c r="X83" s="4" t="n">
        <f aca="false">IF(N83="E-core (Sierra Forest)","N/A (no AMX)",F83*Q83*Assumptions!$B$6/1000)</f>
        <v>132.7104</v>
      </c>
      <c r="Y83" s="4" t="n">
        <f aca="false">IF(N83="E-core (Sierra Forest)","N/A (no AMX)",F83*Q83*Assumptions!$B$7/1000)</f>
        <v>265.4208</v>
      </c>
      <c r="Z83" s="2" t="s">
        <v>38</v>
      </c>
    </row>
    <row r="84" customFormat="false" ht="43.25" hidden="false" customHeight="false" outlineLevel="0" collapsed="false">
      <c r="A84" s="2" t="s">
        <v>137</v>
      </c>
      <c r="B84" s="2" t="s">
        <v>150</v>
      </c>
      <c r="C84" s="2"/>
      <c r="D84" s="6" t="s">
        <v>39</v>
      </c>
      <c r="E84" s="2" t="s">
        <v>142</v>
      </c>
      <c r="F84" s="2" t="n">
        <v>72</v>
      </c>
      <c r="G84" s="2" t="n">
        <v>500</v>
      </c>
      <c r="H84" s="2" t="s">
        <v>45</v>
      </c>
      <c r="I84" s="2" t="s">
        <v>31</v>
      </c>
      <c r="J84" s="2" t="s">
        <v>47</v>
      </c>
      <c r="K84" s="2" t="s">
        <v>153</v>
      </c>
      <c r="L84" s="2" t="s">
        <v>151</v>
      </c>
      <c r="M84" s="2" t="s">
        <v>152</v>
      </c>
      <c r="N84" s="2" t="s">
        <v>36</v>
      </c>
      <c r="O84" s="2" t="s">
        <v>48</v>
      </c>
      <c r="P84" s="2" t="n">
        <v>12</v>
      </c>
      <c r="Q84" s="4" t="n">
        <v>2.7</v>
      </c>
      <c r="R84" s="2" t="n">
        <v>6400</v>
      </c>
      <c r="S84" s="2" t="n">
        <v>8800</v>
      </c>
      <c r="T84" s="4" t="n">
        <f aca="false">P84*R84*Assumptions!$B$10/1000</f>
        <v>614.4</v>
      </c>
      <c r="U84" s="4" t="n">
        <f aca="false">IF(ISNUMBER(S84),P84*S84*Assumptions!$B$10/1000,"N/A")</f>
        <v>844.8</v>
      </c>
      <c r="V84" s="5" t="n">
        <f aca="false">F84*Q84*IF(N84="E-core (Sierra Forest)",Assumptions!$B$8,Assumptions!$B$4)/1000</f>
        <v>6.2208</v>
      </c>
      <c r="W84" s="5" t="n">
        <f aca="false">F84*Q84*IF(N84="E-core (Sierra Forest)",Assumptions!$B$9,Assumptions!$B$5)/1000</f>
        <v>12.4416</v>
      </c>
      <c r="X84" s="4" t="n">
        <f aca="false">IF(N84="E-core (Sierra Forest)","N/A (no AMX)",F84*Q84*Assumptions!$B$6/1000)</f>
        <v>199.0656</v>
      </c>
      <c r="Y84" s="4" t="n">
        <f aca="false">IF(N84="E-core (Sierra Forest)","N/A (no AMX)",F84*Q84*Assumptions!$B$7/1000)</f>
        <v>398.1312</v>
      </c>
      <c r="Z84" s="2" t="s">
        <v>38</v>
      </c>
    </row>
    <row r="85" customFormat="false" ht="43.25" hidden="false" customHeight="false" outlineLevel="0" collapsed="false">
      <c r="A85" s="2" t="s">
        <v>137</v>
      </c>
      <c r="B85" s="2" t="s">
        <v>150</v>
      </c>
      <c r="C85" s="2"/>
      <c r="D85" s="6" t="s">
        <v>39</v>
      </c>
      <c r="E85" s="2" t="s">
        <v>144</v>
      </c>
      <c r="F85" s="2" t="n">
        <v>64</v>
      </c>
      <c r="G85" s="2" t="n">
        <v>350</v>
      </c>
      <c r="H85" s="2" t="s">
        <v>145</v>
      </c>
      <c r="I85" s="2" t="s">
        <v>31</v>
      </c>
      <c r="J85" s="2" t="s">
        <v>47</v>
      </c>
      <c r="K85" s="2" t="s">
        <v>146</v>
      </c>
      <c r="L85" s="2" t="s">
        <v>151</v>
      </c>
      <c r="M85" s="2" t="s">
        <v>152</v>
      </c>
      <c r="N85" s="2" t="s">
        <v>36</v>
      </c>
      <c r="O85" s="2" t="s">
        <v>37</v>
      </c>
      <c r="P85" s="2" t="n">
        <v>8</v>
      </c>
      <c r="Q85" s="4" t="n">
        <v>2.3</v>
      </c>
      <c r="R85" s="2" t="n">
        <v>6400</v>
      </c>
      <c r="S85" s="2" t="n">
        <v>8000</v>
      </c>
      <c r="T85" s="4" t="n">
        <f aca="false">P85*R85*Assumptions!$B$10/1000</f>
        <v>409.6</v>
      </c>
      <c r="U85" s="4" t="n">
        <f aca="false">IF(ISNUMBER(S85),P85*S85*Assumptions!$B$10/1000,"N/A")</f>
        <v>512</v>
      </c>
      <c r="V85" s="5" t="n">
        <f aca="false">F85*Q85*IF(N85="E-core (Sierra Forest)",Assumptions!$B$8,Assumptions!$B$4)/1000</f>
        <v>4.7104</v>
      </c>
      <c r="W85" s="5" t="n">
        <f aca="false">F85*Q85*IF(N85="E-core (Sierra Forest)",Assumptions!$B$9,Assumptions!$B$5)/1000</f>
        <v>9.4208</v>
      </c>
      <c r="X85" s="4" t="n">
        <f aca="false">IF(N85="E-core (Sierra Forest)","N/A (no AMX)",F85*Q85*Assumptions!$B$6/1000)</f>
        <v>150.7328</v>
      </c>
      <c r="Y85" s="4" t="n">
        <f aca="false">IF(N85="E-core (Sierra Forest)","N/A (no AMX)",F85*Q85*Assumptions!$B$7/1000)</f>
        <v>301.4656</v>
      </c>
      <c r="Z85" s="2" t="s">
        <v>38</v>
      </c>
    </row>
    <row r="86" customFormat="false" ht="43.25" hidden="false" customHeight="false" outlineLevel="0" collapsed="false">
      <c r="A86" s="2" t="s">
        <v>137</v>
      </c>
      <c r="B86" s="2" t="s">
        <v>150</v>
      </c>
      <c r="C86" s="2"/>
      <c r="D86" s="7" t="s">
        <v>43</v>
      </c>
      <c r="E86" s="2" t="s">
        <v>64</v>
      </c>
      <c r="F86" s="2" t="n">
        <v>86</v>
      </c>
      <c r="G86" s="2" t="n">
        <v>350</v>
      </c>
      <c r="H86" s="2" t="s">
        <v>57</v>
      </c>
      <c r="I86" s="2" t="s">
        <v>58</v>
      </c>
      <c r="J86" s="2" t="s">
        <v>46</v>
      </c>
      <c r="K86" s="2"/>
      <c r="L86" s="2" t="s">
        <v>151</v>
      </c>
      <c r="M86" s="2" t="s">
        <v>152</v>
      </c>
      <c r="N86" s="2" t="s">
        <v>36</v>
      </c>
      <c r="O86" s="2" t="s">
        <v>37</v>
      </c>
      <c r="P86" s="2" t="n">
        <v>8</v>
      </c>
      <c r="Q86" s="4" t="n">
        <v>2</v>
      </c>
      <c r="R86" s="2" t="n">
        <v>6400</v>
      </c>
      <c r="S86" s="2" t="n">
        <v>8000</v>
      </c>
      <c r="T86" s="4" t="n">
        <f aca="false">P86*R86*Assumptions!$B$10/1000</f>
        <v>409.6</v>
      </c>
      <c r="U86" s="4" t="n">
        <f aca="false">IF(ISNUMBER(S86),P86*S86*Assumptions!$B$10/1000,"N/A")</f>
        <v>512</v>
      </c>
      <c r="V86" s="5" t="n">
        <f aca="false">F86*Q86*IF(N86="E-core (Sierra Forest)",Assumptions!$B$8,Assumptions!$B$4)/1000</f>
        <v>5.504</v>
      </c>
      <c r="W86" s="5" t="n">
        <f aca="false">F86*Q86*IF(N86="E-core (Sierra Forest)",Assumptions!$B$9,Assumptions!$B$5)/1000</f>
        <v>11.008</v>
      </c>
      <c r="X86" s="4" t="n">
        <f aca="false">IF(N86="E-core (Sierra Forest)","N/A (no AMX)",F86*Q86*Assumptions!$B$6/1000)</f>
        <v>176.128</v>
      </c>
      <c r="Y86" s="4" t="n">
        <f aca="false">IF(N86="E-core (Sierra Forest)","N/A (no AMX)",F86*Q86*Assumptions!$B$7/1000)</f>
        <v>352.256</v>
      </c>
      <c r="Z86" s="2" t="s">
        <v>38</v>
      </c>
    </row>
    <row r="87" customFormat="false" ht="43.25" hidden="false" customHeight="false" outlineLevel="0" collapsed="false">
      <c r="A87" s="2" t="s">
        <v>154</v>
      </c>
      <c r="B87" s="2" t="s">
        <v>155</v>
      </c>
      <c r="C87" s="2"/>
      <c r="D87" s="3" t="s">
        <v>29</v>
      </c>
      <c r="E87" s="2" t="s">
        <v>156</v>
      </c>
      <c r="F87" s="2" t="n">
        <v>16</v>
      </c>
      <c r="G87" s="2" t="n">
        <v>235</v>
      </c>
      <c r="H87" s="2" t="s">
        <v>157</v>
      </c>
      <c r="I87" s="2" t="s">
        <v>47</v>
      </c>
      <c r="J87" s="2" t="s">
        <v>158</v>
      </c>
      <c r="K87" s="2"/>
      <c r="L87" s="2" t="s">
        <v>159</v>
      </c>
      <c r="M87" s="2" t="s">
        <v>160</v>
      </c>
      <c r="N87" s="2" t="s">
        <v>36</v>
      </c>
      <c r="O87" s="2" t="s">
        <v>37</v>
      </c>
      <c r="P87" s="2" t="n">
        <v>8</v>
      </c>
      <c r="Q87" s="4" t="n">
        <v>3.7</v>
      </c>
      <c r="R87" s="2" t="n">
        <v>6400</v>
      </c>
      <c r="S87" s="2" t="n">
        <v>8000</v>
      </c>
      <c r="T87" s="4" t="n">
        <f aca="false">P87*R87*Assumptions!$B$10/1000</f>
        <v>409.6</v>
      </c>
      <c r="U87" s="4" t="n">
        <f aca="false">IF(ISNUMBER(S87),P87*S87*Assumptions!$B$10/1000,"N/A")</f>
        <v>512</v>
      </c>
      <c r="V87" s="5" t="n">
        <f aca="false">F87*Q87*IF(N87="E-core (Sierra Forest)",Assumptions!$B$8,Assumptions!$B$4)/1000</f>
        <v>1.8944</v>
      </c>
      <c r="W87" s="5" t="n">
        <f aca="false">F87*Q87*IF(N87="E-core (Sierra Forest)",Assumptions!$B$9,Assumptions!$B$5)/1000</f>
        <v>3.7888</v>
      </c>
      <c r="X87" s="4" t="n">
        <f aca="false">IF(N87="E-core (Sierra Forest)","N/A (no AMX)",F87*Q87*Assumptions!$B$6/1000)</f>
        <v>60.6208</v>
      </c>
      <c r="Y87" s="4" t="n">
        <f aca="false">IF(N87="E-core (Sierra Forest)","N/A (no AMX)",F87*Q87*Assumptions!$B$7/1000)</f>
        <v>121.2416</v>
      </c>
      <c r="Z87" s="2" t="s">
        <v>38</v>
      </c>
    </row>
    <row r="88" customFormat="false" ht="43.25" hidden="false" customHeight="false" outlineLevel="0" collapsed="false">
      <c r="A88" s="2" t="s">
        <v>154</v>
      </c>
      <c r="B88" s="2" t="s">
        <v>155</v>
      </c>
      <c r="C88" s="2"/>
      <c r="D88" s="3" t="s">
        <v>29</v>
      </c>
      <c r="E88" s="2" t="s">
        <v>161</v>
      </c>
      <c r="F88" s="2" t="n">
        <v>16</v>
      </c>
      <c r="G88" s="2" t="n">
        <v>190</v>
      </c>
      <c r="H88" s="2" t="s">
        <v>58</v>
      </c>
      <c r="I88" s="2" t="s">
        <v>162</v>
      </c>
      <c r="J88" s="2" t="s">
        <v>32</v>
      </c>
      <c r="K88" s="2"/>
      <c r="L88" s="2" t="s">
        <v>159</v>
      </c>
      <c r="M88" s="2" t="s">
        <v>160</v>
      </c>
      <c r="N88" s="2" t="s">
        <v>36</v>
      </c>
      <c r="O88" s="2" t="s">
        <v>37</v>
      </c>
      <c r="P88" s="2" t="n">
        <v>8</v>
      </c>
      <c r="Q88" s="4" t="n">
        <v>3.2</v>
      </c>
      <c r="R88" s="2" t="n">
        <v>6400</v>
      </c>
      <c r="S88" s="2" t="n">
        <v>8000</v>
      </c>
      <c r="T88" s="4" t="n">
        <f aca="false">P88*R88*Assumptions!$B$10/1000</f>
        <v>409.6</v>
      </c>
      <c r="U88" s="4" t="n">
        <f aca="false">IF(ISNUMBER(S88),P88*S88*Assumptions!$B$10/1000,"N/A")</f>
        <v>512</v>
      </c>
      <c r="V88" s="5" t="n">
        <f aca="false">F88*Q88*IF(N88="E-core (Sierra Forest)",Assumptions!$B$8,Assumptions!$B$4)/1000</f>
        <v>1.6384</v>
      </c>
      <c r="W88" s="5" t="n">
        <f aca="false">F88*Q88*IF(N88="E-core (Sierra Forest)",Assumptions!$B$9,Assumptions!$B$5)/1000</f>
        <v>3.2768</v>
      </c>
      <c r="X88" s="4" t="n">
        <f aca="false">IF(N88="E-core (Sierra Forest)","N/A (no AMX)",F88*Q88*Assumptions!$B$6/1000)</f>
        <v>52.4288</v>
      </c>
      <c r="Y88" s="4" t="n">
        <f aca="false">IF(N88="E-core (Sierra Forest)","N/A (no AMX)",F88*Q88*Assumptions!$B$7/1000)</f>
        <v>104.8576</v>
      </c>
      <c r="Z88" s="2" t="s">
        <v>38</v>
      </c>
    </row>
    <row r="89" customFormat="false" ht="43.25" hidden="false" customHeight="false" outlineLevel="0" collapsed="false">
      <c r="A89" s="2" t="s">
        <v>154</v>
      </c>
      <c r="B89" s="2" t="s">
        <v>155</v>
      </c>
      <c r="C89" s="2"/>
      <c r="D89" s="6" t="s">
        <v>39</v>
      </c>
      <c r="E89" s="2" t="s">
        <v>134</v>
      </c>
      <c r="F89" s="2" t="n">
        <v>32</v>
      </c>
      <c r="G89" s="2" t="n">
        <v>350</v>
      </c>
      <c r="H89" s="2" t="s">
        <v>46</v>
      </c>
      <c r="I89" s="2" t="s">
        <v>32</v>
      </c>
      <c r="J89" s="2" t="s">
        <v>33</v>
      </c>
      <c r="K89" s="2"/>
      <c r="L89" s="2" t="s">
        <v>159</v>
      </c>
      <c r="M89" s="2" t="s">
        <v>160</v>
      </c>
      <c r="N89" s="2" t="s">
        <v>36</v>
      </c>
      <c r="O89" s="2" t="s">
        <v>37</v>
      </c>
      <c r="P89" s="2" t="n">
        <v>8</v>
      </c>
      <c r="Q89" s="4" t="n">
        <v>3.8</v>
      </c>
      <c r="R89" s="2" t="n">
        <v>6400</v>
      </c>
      <c r="S89" s="2" t="n">
        <v>8000</v>
      </c>
      <c r="T89" s="4" t="n">
        <f aca="false">P89*R89*Assumptions!$B$10/1000</f>
        <v>409.6</v>
      </c>
      <c r="U89" s="4" t="n">
        <f aca="false">IF(ISNUMBER(S89),P89*S89*Assumptions!$B$10/1000,"N/A")</f>
        <v>512</v>
      </c>
      <c r="V89" s="5" t="n">
        <f aca="false">F89*Q89*IF(N89="E-core (Sierra Forest)",Assumptions!$B$8,Assumptions!$B$4)/1000</f>
        <v>3.8912</v>
      </c>
      <c r="W89" s="5" t="n">
        <f aca="false">F89*Q89*IF(N89="E-core (Sierra Forest)",Assumptions!$B$9,Assumptions!$B$5)/1000</f>
        <v>7.7824</v>
      </c>
      <c r="X89" s="4" t="n">
        <f aca="false">IF(N89="E-core (Sierra Forest)","N/A (no AMX)",F89*Q89*Assumptions!$B$6/1000)</f>
        <v>124.5184</v>
      </c>
      <c r="Y89" s="4" t="n">
        <f aca="false">IF(N89="E-core (Sierra Forest)","N/A (no AMX)",F89*Q89*Assumptions!$B$7/1000)</f>
        <v>249.0368</v>
      </c>
      <c r="Z89" s="2" t="s">
        <v>38</v>
      </c>
    </row>
    <row r="90" customFormat="false" ht="43.25" hidden="false" customHeight="false" outlineLevel="0" collapsed="false">
      <c r="A90" s="2" t="s">
        <v>154</v>
      </c>
      <c r="B90" s="2" t="s">
        <v>155</v>
      </c>
      <c r="C90" s="2"/>
      <c r="D90" s="6" t="s">
        <v>39</v>
      </c>
      <c r="E90" s="2" t="s">
        <v>60</v>
      </c>
      <c r="F90" s="2" t="n">
        <v>48</v>
      </c>
      <c r="G90" s="2" t="n">
        <v>330</v>
      </c>
      <c r="H90" s="2" t="s">
        <v>45</v>
      </c>
      <c r="I90" s="2" t="s">
        <v>46</v>
      </c>
      <c r="J90" s="2" t="s">
        <v>47</v>
      </c>
      <c r="K90" s="2"/>
      <c r="L90" s="2" t="s">
        <v>159</v>
      </c>
      <c r="M90" s="2" t="s">
        <v>160</v>
      </c>
      <c r="N90" s="2" t="s">
        <v>36</v>
      </c>
      <c r="O90" s="2" t="s">
        <v>37</v>
      </c>
      <c r="P90" s="2" t="n">
        <v>8</v>
      </c>
      <c r="Q90" s="4" t="n">
        <v>2.7</v>
      </c>
      <c r="R90" s="2" t="n">
        <v>6400</v>
      </c>
      <c r="S90" s="2" t="n">
        <v>8000</v>
      </c>
      <c r="T90" s="4" t="n">
        <f aca="false">P90*R90*Assumptions!$B$10/1000</f>
        <v>409.6</v>
      </c>
      <c r="U90" s="4" t="n">
        <f aca="false">IF(ISNUMBER(S90),P90*S90*Assumptions!$B$10/1000,"N/A")</f>
        <v>512</v>
      </c>
      <c r="V90" s="5" t="n">
        <f aca="false">F90*Q90*IF(N90="E-core (Sierra Forest)",Assumptions!$B$8,Assumptions!$B$4)/1000</f>
        <v>4.1472</v>
      </c>
      <c r="W90" s="5" t="n">
        <f aca="false">F90*Q90*IF(N90="E-core (Sierra Forest)",Assumptions!$B$9,Assumptions!$B$5)/1000</f>
        <v>8.2944</v>
      </c>
      <c r="X90" s="4" t="n">
        <f aca="false">IF(N90="E-core (Sierra Forest)","N/A (no AMX)",F90*Q90*Assumptions!$B$6/1000)</f>
        <v>132.7104</v>
      </c>
      <c r="Y90" s="4" t="n">
        <f aca="false">IF(N90="E-core (Sierra Forest)","N/A (no AMX)",F90*Q90*Assumptions!$B$7/1000)</f>
        <v>265.4208</v>
      </c>
      <c r="Z90" s="2" t="s">
        <v>38</v>
      </c>
    </row>
    <row r="91" customFormat="false" ht="43.25" hidden="false" customHeight="false" outlineLevel="0" collapsed="false">
      <c r="A91" s="2" t="s">
        <v>154</v>
      </c>
      <c r="B91" s="2" t="s">
        <v>155</v>
      </c>
      <c r="C91" s="2"/>
      <c r="D91" s="7" t="s">
        <v>43</v>
      </c>
      <c r="E91" s="2" t="s">
        <v>62</v>
      </c>
      <c r="F91" s="2" t="n">
        <v>64</v>
      </c>
      <c r="G91" s="2" t="n">
        <v>350</v>
      </c>
      <c r="H91" s="2" t="s">
        <v>54</v>
      </c>
      <c r="I91" s="2" t="s">
        <v>31</v>
      </c>
      <c r="J91" s="2" t="s">
        <v>47</v>
      </c>
      <c r="K91" s="2"/>
      <c r="L91" s="2" t="s">
        <v>159</v>
      </c>
      <c r="M91" s="2" t="s">
        <v>160</v>
      </c>
      <c r="N91" s="2" t="s">
        <v>36</v>
      </c>
      <c r="O91" s="2" t="s">
        <v>37</v>
      </c>
      <c r="P91" s="2" t="n">
        <v>8</v>
      </c>
      <c r="Q91" s="4" t="n">
        <v>2.4</v>
      </c>
      <c r="R91" s="2" t="n">
        <v>6400</v>
      </c>
      <c r="S91" s="2" t="n">
        <v>8000</v>
      </c>
      <c r="T91" s="4" t="n">
        <f aca="false">P91*R91*Assumptions!$B$10/1000</f>
        <v>409.6</v>
      </c>
      <c r="U91" s="4" t="n">
        <f aca="false">IF(ISNUMBER(S91),P91*S91*Assumptions!$B$10/1000,"N/A")</f>
        <v>512</v>
      </c>
      <c r="V91" s="5" t="n">
        <f aca="false">F91*Q91*IF(N91="E-core (Sierra Forest)",Assumptions!$B$8,Assumptions!$B$4)/1000</f>
        <v>4.9152</v>
      </c>
      <c r="W91" s="5" t="n">
        <f aca="false">F91*Q91*IF(N91="E-core (Sierra Forest)",Assumptions!$B$9,Assumptions!$B$5)/1000</f>
        <v>9.8304</v>
      </c>
      <c r="X91" s="4" t="n">
        <f aca="false">IF(N91="E-core (Sierra Forest)","N/A (no AMX)",F91*Q91*Assumptions!$B$6/1000)</f>
        <v>157.2864</v>
      </c>
      <c r="Y91" s="4" t="n">
        <f aca="false">IF(N91="E-core (Sierra Forest)","N/A (no AMX)",F91*Q91*Assumptions!$B$7/1000)</f>
        <v>314.5728</v>
      </c>
      <c r="Z91" s="2" t="s">
        <v>38</v>
      </c>
    </row>
    <row r="92" customFormat="false" ht="43.25" hidden="false" customHeight="false" outlineLevel="0" collapsed="false">
      <c r="A92" s="2" t="s">
        <v>154</v>
      </c>
      <c r="B92" s="2" t="s">
        <v>163</v>
      </c>
      <c r="C92" s="2"/>
      <c r="D92" s="3" t="s">
        <v>29</v>
      </c>
      <c r="E92" s="2" t="s">
        <v>156</v>
      </c>
      <c r="F92" s="2" t="n">
        <v>16</v>
      </c>
      <c r="G92" s="2" t="n">
        <v>235</v>
      </c>
      <c r="H92" s="2" t="s">
        <v>157</v>
      </c>
      <c r="I92" s="2" t="s">
        <v>47</v>
      </c>
      <c r="J92" s="2" t="s">
        <v>158</v>
      </c>
      <c r="K92" s="2"/>
      <c r="L92" s="2" t="s">
        <v>164</v>
      </c>
      <c r="M92" s="2" t="s">
        <v>160</v>
      </c>
      <c r="N92" s="2" t="s">
        <v>36</v>
      </c>
      <c r="O92" s="2" t="s">
        <v>37</v>
      </c>
      <c r="P92" s="2" t="n">
        <v>8</v>
      </c>
      <c r="Q92" s="4" t="n">
        <v>3.7</v>
      </c>
      <c r="R92" s="2" t="n">
        <v>6400</v>
      </c>
      <c r="S92" s="2" t="n">
        <v>8000</v>
      </c>
      <c r="T92" s="4" t="n">
        <f aca="false">P92*R92*Assumptions!$B$10/1000</f>
        <v>409.6</v>
      </c>
      <c r="U92" s="4" t="n">
        <f aca="false">IF(ISNUMBER(S92),P92*S92*Assumptions!$B$10/1000,"N/A")</f>
        <v>512</v>
      </c>
      <c r="V92" s="5" t="n">
        <f aca="false">F92*Q92*IF(N92="E-core (Sierra Forest)",Assumptions!$B$8,Assumptions!$B$4)/1000</f>
        <v>1.8944</v>
      </c>
      <c r="W92" s="5" t="n">
        <f aca="false">F92*Q92*IF(N92="E-core (Sierra Forest)",Assumptions!$B$9,Assumptions!$B$5)/1000</f>
        <v>3.7888</v>
      </c>
      <c r="X92" s="4" t="n">
        <f aca="false">IF(N92="E-core (Sierra Forest)","N/A (no AMX)",F92*Q92*Assumptions!$B$6/1000)</f>
        <v>60.6208</v>
      </c>
      <c r="Y92" s="4" t="n">
        <f aca="false">IF(N92="E-core (Sierra Forest)","N/A (no AMX)",F92*Q92*Assumptions!$B$7/1000)</f>
        <v>121.2416</v>
      </c>
      <c r="Z92" s="2" t="s">
        <v>38</v>
      </c>
    </row>
    <row r="93" customFormat="false" ht="43.25" hidden="false" customHeight="false" outlineLevel="0" collapsed="false">
      <c r="A93" s="2" t="s">
        <v>154</v>
      </c>
      <c r="B93" s="2" t="s">
        <v>163</v>
      </c>
      <c r="C93" s="2"/>
      <c r="D93" s="3" t="s">
        <v>29</v>
      </c>
      <c r="E93" s="2" t="s">
        <v>161</v>
      </c>
      <c r="F93" s="2" t="n">
        <v>16</v>
      </c>
      <c r="G93" s="2" t="n">
        <v>190</v>
      </c>
      <c r="H93" s="2" t="s">
        <v>58</v>
      </c>
      <c r="I93" s="2" t="s">
        <v>162</v>
      </c>
      <c r="J93" s="2" t="s">
        <v>32</v>
      </c>
      <c r="K93" s="2"/>
      <c r="L93" s="2" t="s">
        <v>164</v>
      </c>
      <c r="M93" s="2" t="s">
        <v>160</v>
      </c>
      <c r="N93" s="2" t="s">
        <v>36</v>
      </c>
      <c r="O93" s="2" t="s">
        <v>37</v>
      </c>
      <c r="P93" s="2" t="n">
        <v>8</v>
      </c>
      <c r="Q93" s="4" t="n">
        <v>3.2</v>
      </c>
      <c r="R93" s="2" t="n">
        <v>6400</v>
      </c>
      <c r="S93" s="2" t="n">
        <v>8000</v>
      </c>
      <c r="T93" s="4" t="n">
        <f aca="false">P93*R93*Assumptions!$B$10/1000</f>
        <v>409.6</v>
      </c>
      <c r="U93" s="4" t="n">
        <f aca="false">IF(ISNUMBER(S93),P93*S93*Assumptions!$B$10/1000,"N/A")</f>
        <v>512</v>
      </c>
      <c r="V93" s="5" t="n">
        <f aca="false">F93*Q93*IF(N93="E-core (Sierra Forest)",Assumptions!$B$8,Assumptions!$B$4)/1000</f>
        <v>1.6384</v>
      </c>
      <c r="W93" s="5" t="n">
        <f aca="false">F93*Q93*IF(N93="E-core (Sierra Forest)",Assumptions!$B$9,Assumptions!$B$5)/1000</f>
        <v>3.2768</v>
      </c>
      <c r="X93" s="4" t="n">
        <f aca="false">IF(N93="E-core (Sierra Forest)","N/A (no AMX)",F93*Q93*Assumptions!$B$6/1000)</f>
        <v>52.4288</v>
      </c>
      <c r="Y93" s="4" t="n">
        <f aca="false">IF(N93="E-core (Sierra Forest)","N/A (no AMX)",F93*Q93*Assumptions!$B$7/1000)</f>
        <v>104.8576</v>
      </c>
      <c r="Z93" s="2" t="s">
        <v>38</v>
      </c>
    </row>
    <row r="94" customFormat="false" ht="43.25" hidden="false" customHeight="false" outlineLevel="0" collapsed="false">
      <c r="A94" s="2" t="s">
        <v>154</v>
      </c>
      <c r="B94" s="2" t="s">
        <v>163</v>
      </c>
      <c r="C94" s="2"/>
      <c r="D94" s="6" t="s">
        <v>39</v>
      </c>
      <c r="E94" s="2" t="s">
        <v>134</v>
      </c>
      <c r="F94" s="2" t="n">
        <v>32</v>
      </c>
      <c r="G94" s="2" t="n">
        <v>350</v>
      </c>
      <c r="H94" s="2" t="s">
        <v>46</v>
      </c>
      <c r="I94" s="2" t="s">
        <v>32</v>
      </c>
      <c r="J94" s="2" t="s">
        <v>33</v>
      </c>
      <c r="K94" s="2"/>
      <c r="L94" s="2" t="s">
        <v>164</v>
      </c>
      <c r="M94" s="2" t="s">
        <v>160</v>
      </c>
      <c r="N94" s="2" t="s">
        <v>36</v>
      </c>
      <c r="O94" s="2" t="s">
        <v>37</v>
      </c>
      <c r="P94" s="2" t="n">
        <v>8</v>
      </c>
      <c r="Q94" s="4" t="n">
        <v>3.8</v>
      </c>
      <c r="R94" s="2" t="n">
        <v>6400</v>
      </c>
      <c r="S94" s="2" t="n">
        <v>8000</v>
      </c>
      <c r="T94" s="4" t="n">
        <f aca="false">P94*R94*Assumptions!$B$10/1000</f>
        <v>409.6</v>
      </c>
      <c r="U94" s="4" t="n">
        <f aca="false">IF(ISNUMBER(S94),P94*S94*Assumptions!$B$10/1000,"N/A")</f>
        <v>512</v>
      </c>
      <c r="V94" s="5" t="n">
        <f aca="false">F94*Q94*IF(N94="E-core (Sierra Forest)",Assumptions!$B$8,Assumptions!$B$4)/1000</f>
        <v>3.8912</v>
      </c>
      <c r="W94" s="5" t="n">
        <f aca="false">F94*Q94*IF(N94="E-core (Sierra Forest)",Assumptions!$B$9,Assumptions!$B$5)/1000</f>
        <v>7.7824</v>
      </c>
      <c r="X94" s="4" t="n">
        <f aca="false">IF(N94="E-core (Sierra Forest)","N/A (no AMX)",F94*Q94*Assumptions!$B$6/1000)</f>
        <v>124.5184</v>
      </c>
      <c r="Y94" s="4" t="n">
        <f aca="false">IF(N94="E-core (Sierra Forest)","N/A (no AMX)",F94*Q94*Assumptions!$B$7/1000)</f>
        <v>249.0368</v>
      </c>
      <c r="Z94" s="2" t="s">
        <v>38</v>
      </c>
    </row>
    <row r="95" customFormat="false" ht="43.25" hidden="false" customHeight="false" outlineLevel="0" collapsed="false">
      <c r="A95" s="2" t="s">
        <v>154</v>
      </c>
      <c r="B95" s="2" t="s">
        <v>163</v>
      </c>
      <c r="C95" s="2"/>
      <c r="D95" s="6" t="s">
        <v>39</v>
      </c>
      <c r="E95" s="2" t="s">
        <v>60</v>
      </c>
      <c r="F95" s="2" t="n">
        <v>48</v>
      </c>
      <c r="G95" s="2" t="n">
        <v>330</v>
      </c>
      <c r="H95" s="2" t="s">
        <v>45</v>
      </c>
      <c r="I95" s="2" t="s">
        <v>46</v>
      </c>
      <c r="J95" s="2" t="s">
        <v>47</v>
      </c>
      <c r="K95" s="2"/>
      <c r="L95" s="2" t="s">
        <v>164</v>
      </c>
      <c r="M95" s="2" t="s">
        <v>160</v>
      </c>
      <c r="N95" s="2" t="s">
        <v>36</v>
      </c>
      <c r="O95" s="2" t="s">
        <v>37</v>
      </c>
      <c r="P95" s="2" t="n">
        <v>8</v>
      </c>
      <c r="Q95" s="4" t="n">
        <v>2.7</v>
      </c>
      <c r="R95" s="2" t="n">
        <v>6400</v>
      </c>
      <c r="S95" s="2" t="n">
        <v>8000</v>
      </c>
      <c r="T95" s="4" t="n">
        <f aca="false">P95*R95*Assumptions!$B$10/1000</f>
        <v>409.6</v>
      </c>
      <c r="U95" s="4" t="n">
        <f aca="false">IF(ISNUMBER(S95),P95*S95*Assumptions!$B$10/1000,"N/A")</f>
        <v>512</v>
      </c>
      <c r="V95" s="5" t="n">
        <f aca="false">F95*Q95*IF(N95="E-core (Sierra Forest)",Assumptions!$B$8,Assumptions!$B$4)/1000</f>
        <v>4.1472</v>
      </c>
      <c r="W95" s="5" t="n">
        <f aca="false">F95*Q95*IF(N95="E-core (Sierra Forest)",Assumptions!$B$9,Assumptions!$B$5)/1000</f>
        <v>8.2944</v>
      </c>
      <c r="X95" s="4" t="n">
        <f aca="false">IF(N95="E-core (Sierra Forest)","N/A (no AMX)",F95*Q95*Assumptions!$B$6/1000)</f>
        <v>132.7104</v>
      </c>
      <c r="Y95" s="4" t="n">
        <f aca="false">IF(N95="E-core (Sierra Forest)","N/A (no AMX)",F95*Q95*Assumptions!$B$7/1000)</f>
        <v>265.4208</v>
      </c>
      <c r="Z95" s="2" t="s">
        <v>38</v>
      </c>
    </row>
    <row r="96" customFormat="false" ht="43.25" hidden="false" customHeight="false" outlineLevel="0" collapsed="false">
      <c r="A96" s="2" t="s">
        <v>154</v>
      </c>
      <c r="B96" s="2" t="s">
        <v>163</v>
      </c>
      <c r="C96" s="2"/>
      <c r="D96" s="7" t="s">
        <v>43</v>
      </c>
      <c r="E96" s="2" t="s">
        <v>62</v>
      </c>
      <c r="F96" s="2" t="n">
        <v>64</v>
      </c>
      <c r="G96" s="2" t="n">
        <v>350</v>
      </c>
      <c r="H96" s="2" t="s">
        <v>54</v>
      </c>
      <c r="I96" s="2" t="s">
        <v>31</v>
      </c>
      <c r="J96" s="2" t="s">
        <v>47</v>
      </c>
      <c r="K96" s="2"/>
      <c r="L96" s="2" t="s">
        <v>164</v>
      </c>
      <c r="M96" s="2" t="s">
        <v>160</v>
      </c>
      <c r="N96" s="2" t="s">
        <v>36</v>
      </c>
      <c r="O96" s="2" t="s">
        <v>37</v>
      </c>
      <c r="P96" s="2" t="n">
        <v>8</v>
      </c>
      <c r="Q96" s="4" t="n">
        <v>2.4</v>
      </c>
      <c r="R96" s="2" t="n">
        <v>6400</v>
      </c>
      <c r="S96" s="2" t="n">
        <v>8000</v>
      </c>
      <c r="T96" s="4" t="n">
        <f aca="false">P96*R96*Assumptions!$B$10/1000</f>
        <v>409.6</v>
      </c>
      <c r="U96" s="4" t="n">
        <f aca="false">IF(ISNUMBER(S96),P96*S96*Assumptions!$B$10/1000,"N/A")</f>
        <v>512</v>
      </c>
      <c r="V96" s="5" t="n">
        <f aca="false">F96*Q96*IF(N96="E-core (Sierra Forest)",Assumptions!$B$8,Assumptions!$B$4)/1000</f>
        <v>4.9152</v>
      </c>
      <c r="W96" s="5" t="n">
        <f aca="false">F96*Q96*IF(N96="E-core (Sierra Forest)",Assumptions!$B$9,Assumptions!$B$5)/1000</f>
        <v>9.8304</v>
      </c>
      <c r="X96" s="4" t="n">
        <f aca="false">IF(N96="E-core (Sierra Forest)","N/A (no AMX)",F96*Q96*Assumptions!$B$6/1000)</f>
        <v>157.2864</v>
      </c>
      <c r="Y96" s="4" t="n">
        <f aca="false">IF(N96="E-core (Sierra Forest)","N/A (no AMX)",F96*Q96*Assumptions!$B$7/1000)</f>
        <v>314.5728</v>
      </c>
      <c r="Z96" s="2" t="s">
        <v>38</v>
      </c>
    </row>
    <row r="97" customFormat="false" ht="53.7" hidden="false" customHeight="false" outlineLevel="0" collapsed="false">
      <c r="A97" s="2" t="s">
        <v>165</v>
      </c>
      <c r="B97" s="2" t="s">
        <v>166</v>
      </c>
      <c r="C97" s="2"/>
      <c r="D97" s="3" t="s">
        <v>29</v>
      </c>
      <c r="E97" s="2" t="s">
        <v>167</v>
      </c>
      <c r="F97" s="2" t="n">
        <v>24</v>
      </c>
      <c r="G97" s="2" t="n">
        <v>255</v>
      </c>
      <c r="H97" s="2" t="s">
        <v>168</v>
      </c>
      <c r="I97" s="2" t="s">
        <v>32</v>
      </c>
      <c r="J97" s="2" t="s">
        <v>32</v>
      </c>
      <c r="K97" s="2"/>
      <c r="L97" s="2" t="s">
        <v>169</v>
      </c>
      <c r="M97" s="2" t="s">
        <v>170</v>
      </c>
      <c r="N97" s="2" t="s">
        <v>36</v>
      </c>
      <c r="O97" s="2" t="s">
        <v>37</v>
      </c>
      <c r="P97" s="2" t="n">
        <v>8</v>
      </c>
      <c r="Q97" s="4" t="n">
        <v>3</v>
      </c>
      <c r="R97" s="2" t="n">
        <v>6400</v>
      </c>
      <c r="S97" s="2" t="n">
        <v>8000</v>
      </c>
      <c r="T97" s="4" t="n">
        <f aca="false">P97*R97*Assumptions!$B$10/1000</f>
        <v>409.6</v>
      </c>
      <c r="U97" s="4" t="n">
        <f aca="false">IF(ISNUMBER(S97),P97*S97*Assumptions!$B$10/1000,"N/A")</f>
        <v>512</v>
      </c>
      <c r="V97" s="5" t="n">
        <f aca="false">F97*Q97*IF(N97="E-core (Sierra Forest)",Assumptions!$B$8,Assumptions!$B$4)/1000</f>
        <v>2.304</v>
      </c>
      <c r="W97" s="5" t="n">
        <f aca="false">F97*Q97*IF(N97="E-core (Sierra Forest)",Assumptions!$B$9,Assumptions!$B$5)/1000</f>
        <v>4.608</v>
      </c>
      <c r="X97" s="4" t="n">
        <f aca="false">IF(N97="E-core (Sierra Forest)","N/A (no AMX)",F97*Q97*Assumptions!$B$6/1000)</f>
        <v>73.728</v>
      </c>
      <c r="Y97" s="4" t="n">
        <f aca="false">IF(N97="E-core (Sierra Forest)","N/A (no AMX)",F97*Q97*Assumptions!$B$7/1000)</f>
        <v>147.456</v>
      </c>
      <c r="Z97" s="2" t="s">
        <v>38</v>
      </c>
    </row>
    <row r="98" customFormat="false" ht="53.7" hidden="false" customHeight="false" outlineLevel="0" collapsed="false">
      <c r="A98" s="2" t="s">
        <v>165</v>
      </c>
      <c r="B98" s="2" t="s">
        <v>166</v>
      </c>
      <c r="C98" s="2"/>
      <c r="D98" s="3" t="s">
        <v>29</v>
      </c>
      <c r="E98" s="2" t="s">
        <v>171</v>
      </c>
      <c r="F98" s="2" t="n">
        <v>24</v>
      </c>
      <c r="G98" s="2" t="n">
        <v>225</v>
      </c>
      <c r="H98" s="2" t="s">
        <v>63</v>
      </c>
      <c r="I98" s="2" t="s">
        <v>109</v>
      </c>
      <c r="J98" s="2" t="s">
        <v>109</v>
      </c>
      <c r="K98" s="2"/>
      <c r="L98" s="2" t="s">
        <v>169</v>
      </c>
      <c r="M98" s="2" t="s">
        <v>170</v>
      </c>
      <c r="N98" s="2" t="s">
        <v>36</v>
      </c>
      <c r="O98" s="2" t="s">
        <v>37</v>
      </c>
      <c r="P98" s="2" t="n">
        <v>8</v>
      </c>
      <c r="Q98" s="4" t="n">
        <v>2.6</v>
      </c>
      <c r="R98" s="2" t="n">
        <v>6400</v>
      </c>
      <c r="S98" s="2" t="n">
        <v>8000</v>
      </c>
      <c r="T98" s="4" t="n">
        <f aca="false">P98*R98*Assumptions!$B$10/1000</f>
        <v>409.6</v>
      </c>
      <c r="U98" s="4" t="n">
        <f aca="false">IF(ISNUMBER(S98),P98*S98*Assumptions!$B$10/1000,"N/A")</f>
        <v>512</v>
      </c>
      <c r="V98" s="5" t="n">
        <f aca="false">F98*Q98*IF(N98="E-core (Sierra Forest)",Assumptions!$B$8,Assumptions!$B$4)/1000</f>
        <v>1.9968</v>
      </c>
      <c r="W98" s="5" t="n">
        <f aca="false">F98*Q98*IF(N98="E-core (Sierra Forest)",Assumptions!$B$9,Assumptions!$B$5)/1000</f>
        <v>3.9936</v>
      </c>
      <c r="X98" s="4" t="n">
        <f aca="false">IF(N98="E-core (Sierra Forest)","N/A (no AMX)",F98*Q98*Assumptions!$B$6/1000)</f>
        <v>63.8976</v>
      </c>
      <c r="Y98" s="4" t="n">
        <f aca="false">IF(N98="E-core (Sierra Forest)","N/A (no AMX)",F98*Q98*Assumptions!$B$7/1000)</f>
        <v>127.7952</v>
      </c>
      <c r="Z98" s="2" t="s">
        <v>38</v>
      </c>
    </row>
    <row r="99" customFormat="false" ht="53.7" hidden="false" customHeight="false" outlineLevel="0" collapsed="false">
      <c r="A99" s="2" t="s">
        <v>165</v>
      </c>
      <c r="B99" s="2" t="s">
        <v>166</v>
      </c>
      <c r="C99" s="2"/>
      <c r="D99" s="6" t="s">
        <v>39</v>
      </c>
      <c r="E99" s="2" t="s">
        <v>60</v>
      </c>
      <c r="F99" s="2" t="n">
        <v>48</v>
      </c>
      <c r="G99" s="2" t="n">
        <v>330</v>
      </c>
      <c r="H99" s="2" t="s">
        <v>45</v>
      </c>
      <c r="I99" s="2" t="s">
        <v>46</v>
      </c>
      <c r="J99" s="2" t="s">
        <v>47</v>
      </c>
      <c r="K99" s="2"/>
      <c r="L99" s="2" t="s">
        <v>169</v>
      </c>
      <c r="M99" s="2" t="s">
        <v>170</v>
      </c>
      <c r="N99" s="2" t="s">
        <v>36</v>
      </c>
      <c r="O99" s="2" t="s">
        <v>37</v>
      </c>
      <c r="P99" s="2" t="n">
        <v>8</v>
      </c>
      <c r="Q99" s="4" t="n">
        <v>2.7</v>
      </c>
      <c r="R99" s="2" t="n">
        <v>6400</v>
      </c>
      <c r="S99" s="2" t="n">
        <v>8000</v>
      </c>
      <c r="T99" s="4" t="n">
        <f aca="false">P99*R99*Assumptions!$B$10/1000</f>
        <v>409.6</v>
      </c>
      <c r="U99" s="4" t="n">
        <f aca="false">IF(ISNUMBER(S99),P99*S99*Assumptions!$B$10/1000,"N/A")</f>
        <v>512</v>
      </c>
      <c r="V99" s="5" t="n">
        <f aca="false">F99*Q99*IF(N99="E-core (Sierra Forest)",Assumptions!$B$8,Assumptions!$B$4)/1000</f>
        <v>4.1472</v>
      </c>
      <c r="W99" s="5" t="n">
        <f aca="false">F99*Q99*IF(N99="E-core (Sierra Forest)",Assumptions!$B$9,Assumptions!$B$5)/1000</f>
        <v>8.2944</v>
      </c>
      <c r="X99" s="4" t="n">
        <f aca="false">IF(N99="E-core (Sierra Forest)","N/A (no AMX)",F99*Q99*Assumptions!$B$6/1000)</f>
        <v>132.7104</v>
      </c>
      <c r="Y99" s="4" t="n">
        <f aca="false">IF(N99="E-core (Sierra Forest)","N/A (no AMX)",F99*Q99*Assumptions!$B$7/1000)</f>
        <v>265.4208</v>
      </c>
      <c r="Z99" s="2" t="s">
        <v>38</v>
      </c>
    </row>
    <row r="100" customFormat="false" ht="53.7" hidden="false" customHeight="false" outlineLevel="0" collapsed="false">
      <c r="A100" s="2" t="s">
        <v>165</v>
      </c>
      <c r="B100" s="2" t="s">
        <v>166</v>
      </c>
      <c r="C100" s="2"/>
      <c r="D100" s="6" t="s">
        <v>39</v>
      </c>
      <c r="E100" s="2" t="s">
        <v>172</v>
      </c>
      <c r="F100" s="2" t="n">
        <v>48</v>
      </c>
      <c r="G100" s="2" t="n">
        <v>300</v>
      </c>
      <c r="H100" s="2" t="s">
        <v>173</v>
      </c>
      <c r="I100" s="2" t="s">
        <v>157</v>
      </c>
      <c r="J100" s="2" t="s">
        <v>46</v>
      </c>
      <c r="K100" s="2"/>
      <c r="L100" s="2" t="s">
        <v>169</v>
      </c>
      <c r="M100" s="2" t="s">
        <v>170</v>
      </c>
      <c r="N100" s="2" t="s">
        <v>36</v>
      </c>
      <c r="O100" s="2" t="s">
        <v>37</v>
      </c>
      <c r="P100" s="2" t="n">
        <v>8</v>
      </c>
      <c r="Q100" s="4" t="n">
        <v>2.5</v>
      </c>
      <c r="R100" s="2" t="n">
        <v>6400</v>
      </c>
      <c r="S100" s="2" t="n">
        <v>8000</v>
      </c>
      <c r="T100" s="4" t="n">
        <f aca="false">P100*R100*Assumptions!$B$10/1000</f>
        <v>409.6</v>
      </c>
      <c r="U100" s="4" t="n">
        <f aca="false">IF(ISNUMBER(S100),P100*S100*Assumptions!$B$10/1000,"N/A")</f>
        <v>512</v>
      </c>
      <c r="V100" s="5" t="n">
        <f aca="false">F100*Q100*IF(N100="E-core (Sierra Forest)",Assumptions!$B$8,Assumptions!$B$4)/1000</f>
        <v>3.84</v>
      </c>
      <c r="W100" s="5" t="n">
        <f aca="false">F100*Q100*IF(N100="E-core (Sierra Forest)",Assumptions!$B$9,Assumptions!$B$5)/1000</f>
        <v>7.68</v>
      </c>
      <c r="X100" s="4" t="n">
        <f aca="false">IF(N100="E-core (Sierra Forest)","N/A (no AMX)",F100*Q100*Assumptions!$B$6/1000)</f>
        <v>122.88</v>
      </c>
      <c r="Y100" s="4" t="n">
        <f aca="false">IF(N100="E-core (Sierra Forest)","N/A (no AMX)",F100*Q100*Assumptions!$B$7/1000)</f>
        <v>245.76</v>
      </c>
      <c r="Z100" s="2" t="s">
        <v>38</v>
      </c>
    </row>
    <row r="101" customFormat="false" ht="53.7" hidden="false" customHeight="false" outlineLevel="0" collapsed="false">
      <c r="A101" s="2" t="s">
        <v>165</v>
      </c>
      <c r="B101" s="2" t="s">
        <v>166</v>
      </c>
      <c r="C101" s="2"/>
      <c r="D101" s="7" t="s">
        <v>43</v>
      </c>
      <c r="E101" s="2" t="s">
        <v>64</v>
      </c>
      <c r="F101" s="2" t="n">
        <v>86</v>
      </c>
      <c r="G101" s="2" t="n">
        <v>350</v>
      </c>
      <c r="H101" s="2" t="s">
        <v>57</v>
      </c>
      <c r="I101" s="2" t="s">
        <v>58</v>
      </c>
      <c r="J101" s="2" t="s">
        <v>46</v>
      </c>
      <c r="K101" s="2"/>
      <c r="L101" s="2" t="s">
        <v>169</v>
      </c>
      <c r="M101" s="2" t="s">
        <v>170</v>
      </c>
      <c r="N101" s="2" t="s">
        <v>36</v>
      </c>
      <c r="O101" s="2" t="s">
        <v>37</v>
      </c>
      <c r="P101" s="2" t="n">
        <v>8</v>
      </c>
      <c r="Q101" s="4" t="n">
        <v>2</v>
      </c>
      <c r="R101" s="2" t="n">
        <v>6400</v>
      </c>
      <c r="S101" s="2" t="n">
        <v>8000</v>
      </c>
      <c r="T101" s="4" t="n">
        <f aca="false">P101*R101*Assumptions!$B$10/1000</f>
        <v>409.6</v>
      </c>
      <c r="U101" s="4" t="n">
        <f aca="false">IF(ISNUMBER(S101),P101*S101*Assumptions!$B$10/1000,"N/A")</f>
        <v>512</v>
      </c>
      <c r="V101" s="5" t="n">
        <f aca="false">F101*Q101*IF(N101="E-core (Sierra Forest)",Assumptions!$B$8,Assumptions!$B$4)/1000</f>
        <v>5.504</v>
      </c>
      <c r="W101" s="5" t="n">
        <f aca="false">F101*Q101*IF(N101="E-core (Sierra Forest)",Assumptions!$B$9,Assumptions!$B$5)/1000</f>
        <v>11.008</v>
      </c>
      <c r="X101" s="4" t="n">
        <f aca="false">IF(N101="E-core (Sierra Forest)","N/A (no AMX)",F101*Q101*Assumptions!$B$6/1000)</f>
        <v>176.128</v>
      </c>
      <c r="Y101" s="4" t="n">
        <f aca="false">IF(N101="E-core (Sierra Forest)","N/A (no AMX)",F101*Q101*Assumptions!$B$7/1000)</f>
        <v>352.256</v>
      </c>
      <c r="Z101" s="2" t="s">
        <v>38</v>
      </c>
    </row>
    <row r="102" customFormat="false" ht="53.7" hidden="false" customHeight="false" outlineLevel="0" collapsed="false">
      <c r="A102" s="2" t="s">
        <v>165</v>
      </c>
      <c r="B102" s="2" t="s">
        <v>166</v>
      </c>
      <c r="C102" s="2"/>
      <c r="D102" s="7" t="s">
        <v>43</v>
      </c>
      <c r="E102" s="2" t="s">
        <v>174</v>
      </c>
      <c r="F102" s="2" t="n">
        <v>80</v>
      </c>
      <c r="G102" s="2" t="n">
        <v>350</v>
      </c>
      <c r="H102" s="2" t="s">
        <v>57</v>
      </c>
      <c r="I102" s="2" t="s">
        <v>58</v>
      </c>
      <c r="J102" s="2" t="s">
        <v>46</v>
      </c>
      <c r="K102" s="2"/>
      <c r="L102" s="2" t="s">
        <v>169</v>
      </c>
      <c r="M102" s="2" t="s">
        <v>170</v>
      </c>
      <c r="N102" s="2" t="s">
        <v>36</v>
      </c>
      <c r="O102" s="2" t="s">
        <v>37</v>
      </c>
      <c r="P102" s="2" t="n">
        <v>8</v>
      </c>
      <c r="Q102" s="4" t="n">
        <v>2</v>
      </c>
      <c r="R102" s="2" t="n">
        <v>6400</v>
      </c>
      <c r="S102" s="2" t="n">
        <v>8000</v>
      </c>
      <c r="T102" s="4" t="n">
        <f aca="false">P102*R102*Assumptions!$B$10/1000</f>
        <v>409.6</v>
      </c>
      <c r="U102" s="4" t="n">
        <f aca="false">IF(ISNUMBER(S102),P102*S102*Assumptions!$B$10/1000,"N/A")</f>
        <v>512</v>
      </c>
      <c r="V102" s="5" t="n">
        <f aca="false">F102*Q102*IF(N102="E-core (Sierra Forest)",Assumptions!$B$8,Assumptions!$B$4)/1000</f>
        <v>5.12</v>
      </c>
      <c r="W102" s="5" t="n">
        <f aca="false">F102*Q102*IF(N102="E-core (Sierra Forest)",Assumptions!$B$9,Assumptions!$B$5)/1000</f>
        <v>10.24</v>
      </c>
      <c r="X102" s="4" t="n">
        <f aca="false">IF(N102="E-core (Sierra Forest)","N/A (no AMX)",F102*Q102*Assumptions!$B$6/1000)</f>
        <v>163.84</v>
      </c>
      <c r="Y102" s="4" t="n">
        <f aca="false">IF(N102="E-core (Sierra Forest)","N/A (no AMX)",F102*Q102*Assumptions!$B$7/1000)</f>
        <v>327.68</v>
      </c>
      <c r="Z102" s="2" t="s">
        <v>38</v>
      </c>
    </row>
    <row r="103" customFormat="false" ht="64.15" hidden="false" customHeight="false" outlineLevel="0" collapsed="false">
      <c r="A103" s="2" t="s">
        <v>165</v>
      </c>
      <c r="B103" s="2" t="s">
        <v>175</v>
      </c>
      <c r="C103" s="2"/>
      <c r="D103" s="3" t="s">
        <v>29</v>
      </c>
      <c r="E103" s="2" t="s">
        <v>167</v>
      </c>
      <c r="F103" s="2" t="n">
        <v>24</v>
      </c>
      <c r="G103" s="2" t="n">
        <v>255</v>
      </c>
      <c r="H103" s="2" t="s">
        <v>168</v>
      </c>
      <c r="I103" s="2" t="s">
        <v>32</v>
      </c>
      <c r="J103" s="2" t="s">
        <v>32</v>
      </c>
      <c r="K103" s="2"/>
      <c r="L103" s="2" t="s">
        <v>176</v>
      </c>
      <c r="M103" s="2" t="s">
        <v>177</v>
      </c>
      <c r="N103" s="2" t="s">
        <v>36</v>
      </c>
      <c r="O103" s="2" t="s">
        <v>37</v>
      </c>
      <c r="P103" s="2" t="n">
        <v>8</v>
      </c>
      <c r="Q103" s="4" t="n">
        <v>3</v>
      </c>
      <c r="R103" s="2" t="n">
        <v>6400</v>
      </c>
      <c r="S103" s="2" t="n">
        <v>8000</v>
      </c>
      <c r="T103" s="4" t="n">
        <f aca="false">P103*R103*Assumptions!$B$10/1000</f>
        <v>409.6</v>
      </c>
      <c r="U103" s="4" t="n">
        <f aca="false">IF(ISNUMBER(S103),P103*S103*Assumptions!$B$10/1000,"N/A")</f>
        <v>512</v>
      </c>
      <c r="V103" s="5" t="n">
        <f aca="false">F103*Q103*IF(N103="E-core (Sierra Forest)",Assumptions!$B$8,Assumptions!$B$4)/1000</f>
        <v>2.304</v>
      </c>
      <c r="W103" s="5" t="n">
        <f aca="false">F103*Q103*IF(N103="E-core (Sierra Forest)",Assumptions!$B$9,Assumptions!$B$5)/1000</f>
        <v>4.608</v>
      </c>
      <c r="X103" s="4" t="n">
        <f aca="false">IF(N103="E-core (Sierra Forest)","N/A (no AMX)",F103*Q103*Assumptions!$B$6/1000)</f>
        <v>73.728</v>
      </c>
      <c r="Y103" s="4" t="n">
        <f aca="false">IF(N103="E-core (Sierra Forest)","N/A (no AMX)",F103*Q103*Assumptions!$B$7/1000)</f>
        <v>147.456</v>
      </c>
      <c r="Z103" s="2" t="s">
        <v>38</v>
      </c>
    </row>
    <row r="104" customFormat="false" ht="64.15" hidden="false" customHeight="false" outlineLevel="0" collapsed="false">
      <c r="A104" s="2" t="s">
        <v>165</v>
      </c>
      <c r="B104" s="2" t="s">
        <v>175</v>
      </c>
      <c r="C104" s="2"/>
      <c r="D104" s="3" t="s">
        <v>29</v>
      </c>
      <c r="E104" s="2" t="s">
        <v>178</v>
      </c>
      <c r="F104" s="2" t="n">
        <v>16</v>
      </c>
      <c r="G104" s="2" t="n">
        <v>150</v>
      </c>
      <c r="H104" s="2" t="s">
        <v>145</v>
      </c>
      <c r="I104" s="2" t="s">
        <v>109</v>
      </c>
      <c r="J104" s="2" t="s">
        <v>32</v>
      </c>
      <c r="K104" s="2"/>
      <c r="L104" s="2" t="s">
        <v>176</v>
      </c>
      <c r="M104" s="2" t="s">
        <v>177</v>
      </c>
      <c r="N104" s="2" t="s">
        <v>36</v>
      </c>
      <c r="O104" s="2" t="s">
        <v>37</v>
      </c>
      <c r="P104" s="2" t="n">
        <v>8</v>
      </c>
      <c r="Q104" s="4" t="n">
        <v>2.3</v>
      </c>
      <c r="R104" s="2" t="n">
        <v>6400</v>
      </c>
      <c r="S104" s="2" t="n">
        <v>8000</v>
      </c>
      <c r="T104" s="4" t="n">
        <f aca="false">P104*R104*Assumptions!$B$10/1000</f>
        <v>409.6</v>
      </c>
      <c r="U104" s="4" t="n">
        <f aca="false">IF(ISNUMBER(S104),P104*S104*Assumptions!$B$10/1000,"N/A")</f>
        <v>512</v>
      </c>
      <c r="V104" s="5" t="n">
        <f aca="false">F104*Q104*IF(N104="E-core (Sierra Forest)",Assumptions!$B$8,Assumptions!$B$4)/1000</f>
        <v>1.1776</v>
      </c>
      <c r="W104" s="5" t="n">
        <f aca="false">F104*Q104*IF(N104="E-core (Sierra Forest)",Assumptions!$B$9,Assumptions!$B$5)/1000</f>
        <v>2.3552</v>
      </c>
      <c r="X104" s="4" t="n">
        <f aca="false">IF(N104="E-core (Sierra Forest)","N/A (no AMX)",F104*Q104*Assumptions!$B$6/1000)</f>
        <v>37.6832</v>
      </c>
      <c r="Y104" s="4" t="n">
        <f aca="false">IF(N104="E-core (Sierra Forest)","N/A (no AMX)",F104*Q104*Assumptions!$B$7/1000)</f>
        <v>75.3664</v>
      </c>
      <c r="Z104" s="2" t="s">
        <v>38</v>
      </c>
    </row>
    <row r="105" customFormat="false" ht="64.15" hidden="false" customHeight="false" outlineLevel="0" collapsed="false">
      <c r="A105" s="2" t="s">
        <v>165</v>
      </c>
      <c r="B105" s="2" t="s">
        <v>175</v>
      </c>
      <c r="C105" s="2"/>
      <c r="D105" s="6" t="s">
        <v>39</v>
      </c>
      <c r="E105" s="2" t="s">
        <v>40</v>
      </c>
      <c r="F105" s="2" t="n">
        <v>32</v>
      </c>
      <c r="G105" s="2" t="n">
        <v>270</v>
      </c>
      <c r="H105" s="2" t="s">
        <v>41</v>
      </c>
      <c r="I105" s="2" t="s">
        <v>42</v>
      </c>
      <c r="J105" s="2" t="s">
        <v>42</v>
      </c>
      <c r="K105" s="2"/>
      <c r="L105" s="2" t="s">
        <v>176</v>
      </c>
      <c r="M105" s="2" t="s">
        <v>177</v>
      </c>
      <c r="N105" s="2" t="s">
        <v>36</v>
      </c>
      <c r="O105" s="2" t="s">
        <v>37</v>
      </c>
      <c r="P105" s="2" t="n">
        <v>8</v>
      </c>
      <c r="Q105" s="4" t="n">
        <v>2.9</v>
      </c>
      <c r="R105" s="2" t="n">
        <v>6400</v>
      </c>
      <c r="S105" s="2" t="n">
        <v>8000</v>
      </c>
      <c r="T105" s="4" t="n">
        <f aca="false">P105*R105*Assumptions!$B$10/1000</f>
        <v>409.6</v>
      </c>
      <c r="U105" s="4" t="n">
        <f aca="false">IF(ISNUMBER(S105),P105*S105*Assumptions!$B$10/1000,"N/A")</f>
        <v>512</v>
      </c>
      <c r="V105" s="5" t="n">
        <f aca="false">F105*Q105*IF(N105="E-core (Sierra Forest)",Assumptions!$B$8,Assumptions!$B$4)/1000</f>
        <v>2.9696</v>
      </c>
      <c r="W105" s="5" t="n">
        <f aca="false">F105*Q105*IF(N105="E-core (Sierra Forest)",Assumptions!$B$9,Assumptions!$B$5)/1000</f>
        <v>5.9392</v>
      </c>
      <c r="X105" s="4" t="n">
        <f aca="false">IF(N105="E-core (Sierra Forest)","N/A (no AMX)",F105*Q105*Assumptions!$B$6/1000)</f>
        <v>95.0272</v>
      </c>
      <c r="Y105" s="4" t="n">
        <f aca="false">IF(N105="E-core (Sierra Forest)","N/A (no AMX)",F105*Q105*Assumptions!$B$7/1000)</f>
        <v>190.0544</v>
      </c>
      <c r="Z105" s="2" t="s">
        <v>38</v>
      </c>
    </row>
    <row r="106" customFormat="false" ht="64.15" hidden="false" customHeight="false" outlineLevel="0" collapsed="false">
      <c r="A106" s="2" t="s">
        <v>165</v>
      </c>
      <c r="B106" s="2" t="s">
        <v>175</v>
      </c>
      <c r="C106" s="2"/>
      <c r="D106" s="6" t="s">
        <v>39</v>
      </c>
      <c r="E106" s="2" t="s">
        <v>179</v>
      </c>
      <c r="F106" s="2" t="n">
        <v>32</v>
      </c>
      <c r="G106" s="2" t="n">
        <v>245</v>
      </c>
      <c r="H106" s="2" t="s">
        <v>173</v>
      </c>
      <c r="I106" s="2" t="s">
        <v>47</v>
      </c>
      <c r="J106" s="2" t="s">
        <v>109</v>
      </c>
      <c r="K106" s="2"/>
      <c r="L106" s="2" t="s">
        <v>176</v>
      </c>
      <c r="M106" s="2" t="s">
        <v>177</v>
      </c>
      <c r="N106" s="2" t="s">
        <v>36</v>
      </c>
      <c r="O106" s="2" t="s">
        <v>37</v>
      </c>
      <c r="P106" s="2" t="n">
        <v>8</v>
      </c>
      <c r="Q106" s="4" t="n">
        <v>2.5</v>
      </c>
      <c r="R106" s="2" t="n">
        <v>6400</v>
      </c>
      <c r="S106" s="2" t="n">
        <v>8000</v>
      </c>
      <c r="T106" s="4" t="n">
        <f aca="false">P106*R106*Assumptions!$B$10/1000</f>
        <v>409.6</v>
      </c>
      <c r="U106" s="4" t="n">
        <f aca="false">IF(ISNUMBER(S106),P106*S106*Assumptions!$B$10/1000,"N/A")</f>
        <v>512</v>
      </c>
      <c r="V106" s="5" t="n">
        <f aca="false">F106*Q106*IF(N106="E-core (Sierra Forest)",Assumptions!$B$8,Assumptions!$B$4)/1000</f>
        <v>2.56</v>
      </c>
      <c r="W106" s="5" t="n">
        <f aca="false">F106*Q106*IF(N106="E-core (Sierra Forest)",Assumptions!$B$9,Assumptions!$B$5)/1000</f>
        <v>5.12</v>
      </c>
      <c r="X106" s="4" t="n">
        <f aca="false">IF(N106="E-core (Sierra Forest)","N/A (no AMX)",F106*Q106*Assumptions!$B$6/1000)</f>
        <v>81.92</v>
      </c>
      <c r="Y106" s="4" t="n">
        <f aca="false">IF(N106="E-core (Sierra Forest)","N/A (no AMX)",F106*Q106*Assumptions!$B$7/1000)</f>
        <v>163.84</v>
      </c>
      <c r="Z106" s="2" t="s">
        <v>38</v>
      </c>
    </row>
    <row r="107" customFormat="false" ht="64.15" hidden="false" customHeight="false" outlineLevel="0" collapsed="false">
      <c r="A107" s="2" t="s">
        <v>165</v>
      </c>
      <c r="B107" s="2" t="s">
        <v>175</v>
      </c>
      <c r="C107" s="2"/>
      <c r="D107" s="7" t="s">
        <v>43</v>
      </c>
      <c r="E107" s="2" t="s">
        <v>60</v>
      </c>
      <c r="F107" s="2" t="n">
        <v>48</v>
      </c>
      <c r="G107" s="2" t="n">
        <v>330</v>
      </c>
      <c r="H107" s="2" t="s">
        <v>45</v>
      </c>
      <c r="I107" s="2" t="s">
        <v>46</v>
      </c>
      <c r="J107" s="2" t="s">
        <v>47</v>
      </c>
      <c r="K107" s="2"/>
      <c r="L107" s="2" t="s">
        <v>176</v>
      </c>
      <c r="M107" s="2" t="s">
        <v>177</v>
      </c>
      <c r="N107" s="2" t="s">
        <v>36</v>
      </c>
      <c r="O107" s="2" t="s">
        <v>37</v>
      </c>
      <c r="P107" s="2" t="n">
        <v>8</v>
      </c>
      <c r="Q107" s="4" t="n">
        <v>2.7</v>
      </c>
      <c r="R107" s="2" t="n">
        <v>6400</v>
      </c>
      <c r="S107" s="2" t="n">
        <v>8000</v>
      </c>
      <c r="T107" s="4" t="n">
        <f aca="false">P107*R107*Assumptions!$B$10/1000</f>
        <v>409.6</v>
      </c>
      <c r="U107" s="4" t="n">
        <f aca="false">IF(ISNUMBER(S107),P107*S107*Assumptions!$B$10/1000,"N/A")</f>
        <v>512</v>
      </c>
      <c r="V107" s="5" t="n">
        <f aca="false">F107*Q107*IF(N107="E-core (Sierra Forest)",Assumptions!$B$8,Assumptions!$B$4)/1000</f>
        <v>4.1472</v>
      </c>
      <c r="W107" s="5" t="n">
        <f aca="false">F107*Q107*IF(N107="E-core (Sierra Forest)",Assumptions!$B$9,Assumptions!$B$5)/1000</f>
        <v>8.2944</v>
      </c>
      <c r="X107" s="4" t="n">
        <f aca="false">IF(N107="E-core (Sierra Forest)","N/A (no AMX)",F107*Q107*Assumptions!$B$6/1000)</f>
        <v>132.7104</v>
      </c>
      <c r="Y107" s="4" t="n">
        <f aca="false">IF(N107="E-core (Sierra Forest)","N/A (no AMX)",F107*Q107*Assumptions!$B$7/1000)</f>
        <v>265.4208</v>
      </c>
      <c r="Z107" s="2" t="s">
        <v>38</v>
      </c>
    </row>
    <row r="108" customFormat="false" ht="64.15" hidden="false" customHeight="false" outlineLevel="0" collapsed="false">
      <c r="A108" s="2" t="s">
        <v>165</v>
      </c>
      <c r="B108" s="2" t="s">
        <v>175</v>
      </c>
      <c r="C108" s="2"/>
      <c r="D108" s="7" t="s">
        <v>43</v>
      </c>
      <c r="E108" s="2" t="s">
        <v>172</v>
      </c>
      <c r="F108" s="2" t="n">
        <v>48</v>
      </c>
      <c r="G108" s="2" t="n">
        <v>300</v>
      </c>
      <c r="H108" s="2" t="s">
        <v>173</v>
      </c>
      <c r="I108" s="2" t="s">
        <v>157</v>
      </c>
      <c r="J108" s="2" t="s">
        <v>46</v>
      </c>
      <c r="K108" s="2"/>
      <c r="L108" s="2" t="s">
        <v>176</v>
      </c>
      <c r="M108" s="2" t="s">
        <v>177</v>
      </c>
      <c r="N108" s="2" t="s">
        <v>36</v>
      </c>
      <c r="O108" s="2" t="s">
        <v>37</v>
      </c>
      <c r="P108" s="2" t="n">
        <v>8</v>
      </c>
      <c r="Q108" s="4" t="n">
        <v>2.5</v>
      </c>
      <c r="R108" s="2" t="n">
        <v>6400</v>
      </c>
      <c r="S108" s="2" t="n">
        <v>8000</v>
      </c>
      <c r="T108" s="4" t="n">
        <f aca="false">P108*R108*Assumptions!$B$10/1000</f>
        <v>409.6</v>
      </c>
      <c r="U108" s="4" t="n">
        <f aca="false">IF(ISNUMBER(S108),P108*S108*Assumptions!$B$10/1000,"N/A")</f>
        <v>512</v>
      </c>
      <c r="V108" s="5" t="n">
        <f aca="false">F108*Q108*IF(N108="E-core (Sierra Forest)",Assumptions!$B$8,Assumptions!$B$4)/1000</f>
        <v>3.84</v>
      </c>
      <c r="W108" s="5" t="n">
        <f aca="false">F108*Q108*IF(N108="E-core (Sierra Forest)",Assumptions!$B$9,Assumptions!$B$5)/1000</f>
        <v>7.68</v>
      </c>
      <c r="X108" s="4" t="n">
        <f aca="false">IF(N108="E-core (Sierra Forest)","N/A (no AMX)",F108*Q108*Assumptions!$B$6/1000)</f>
        <v>122.88</v>
      </c>
      <c r="Y108" s="4" t="n">
        <f aca="false">IF(N108="E-core (Sierra Forest)","N/A (no AMX)",F108*Q108*Assumptions!$B$7/1000)</f>
        <v>245.76</v>
      </c>
      <c r="Z108" s="2" t="s">
        <v>38</v>
      </c>
    </row>
    <row r="109" customFormat="false" ht="53.7" hidden="false" customHeight="false" outlineLevel="0" collapsed="false">
      <c r="A109" s="2" t="s">
        <v>165</v>
      </c>
      <c r="B109" s="2" t="s">
        <v>180</v>
      </c>
      <c r="C109" s="2"/>
      <c r="D109" s="3" t="s">
        <v>29</v>
      </c>
      <c r="E109" s="2" t="s">
        <v>181</v>
      </c>
      <c r="F109" s="2" t="n">
        <v>72</v>
      </c>
      <c r="G109" s="2" t="n">
        <v>350</v>
      </c>
      <c r="H109" s="2" t="s">
        <v>45</v>
      </c>
      <c r="I109" s="2" t="s">
        <v>46</v>
      </c>
      <c r="J109" s="2" t="s">
        <v>47</v>
      </c>
      <c r="K109" s="2"/>
      <c r="L109" s="2" t="s">
        <v>182</v>
      </c>
      <c r="M109" s="2" t="s">
        <v>183</v>
      </c>
      <c r="N109" s="2" t="s">
        <v>36</v>
      </c>
      <c r="O109" s="2" t="s">
        <v>48</v>
      </c>
      <c r="P109" s="2" t="n">
        <v>12</v>
      </c>
      <c r="Q109" s="4" t="n">
        <v>2.7</v>
      </c>
      <c r="R109" s="2" t="n">
        <v>6400</v>
      </c>
      <c r="S109" s="2" t="n">
        <v>8800</v>
      </c>
      <c r="T109" s="4" t="n">
        <f aca="false">P109*R109*Assumptions!$B$10/1000</f>
        <v>614.4</v>
      </c>
      <c r="U109" s="4" t="n">
        <f aca="false">IF(ISNUMBER(S109),P109*S109*Assumptions!$B$10/1000,"N/A")</f>
        <v>844.8</v>
      </c>
      <c r="V109" s="5" t="n">
        <f aca="false">F109*Q109*IF(N109="E-core (Sierra Forest)",Assumptions!$B$8,Assumptions!$B$4)/1000</f>
        <v>6.2208</v>
      </c>
      <c r="W109" s="5" t="n">
        <f aca="false">F109*Q109*IF(N109="E-core (Sierra Forest)",Assumptions!$B$9,Assumptions!$B$5)/1000</f>
        <v>12.4416</v>
      </c>
      <c r="X109" s="4" t="n">
        <f aca="false">IF(N109="E-core (Sierra Forest)","N/A (no AMX)",F109*Q109*Assumptions!$B$6/1000)</f>
        <v>199.0656</v>
      </c>
      <c r="Y109" s="4" t="n">
        <f aca="false">IF(N109="E-core (Sierra Forest)","N/A (no AMX)",F109*Q109*Assumptions!$B$7/1000)</f>
        <v>398.1312</v>
      </c>
      <c r="Z109" s="2" t="s">
        <v>38</v>
      </c>
    </row>
    <row r="110" customFormat="false" ht="53.7" hidden="false" customHeight="false" outlineLevel="0" collapsed="false">
      <c r="A110" s="2" t="s">
        <v>165</v>
      </c>
      <c r="B110" s="2" t="s">
        <v>180</v>
      </c>
      <c r="C110" s="2"/>
      <c r="D110" s="3" t="s">
        <v>29</v>
      </c>
      <c r="E110" s="2" t="s">
        <v>167</v>
      </c>
      <c r="F110" s="2" t="n">
        <v>24</v>
      </c>
      <c r="G110" s="2" t="n">
        <v>255</v>
      </c>
      <c r="H110" s="2" t="s">
        <v>168</v>
      </c>
      <c r="I110" s="2" t="s">
        <v>32</v>
      </c>
      <c r="J110" s="2" t="s">
        <v>32</v>
      </c>
      <c r="K110" s="2"/>
      <c r="L110" s="2" t="s">
        <v>182</v>
      </c>
      <c r="M110" s="2" t="s">
        <v>183</v>
      </c>
      <c r="N110" s="2" t="s">
        <v>36</v>
      </c>
      <c r="O110" s="2" t="s">
        <v>37</v>
      </c>
      <c r="P110" s="2" t="n">
        <v>8</v>
      </c>
      <c r="Q110" s="4" t="n">
        <v>3</v>
      </c>
      <c r="R110" s="2" t="n">
        <v>6400</v>
      </c>
      <c r="S110" s="2" t="n">
        <v>8000</v>
      </c>
      <c r="T110" s="4" t="n">
        <f aca="false">P110*R110*Assumptions!$B$10/1000</f>
        <v>409.6</v>
      </c>
      <c r="U110" s="4" t="n">
        <f aca="false">IF(ISNUMBER(S110),P110*S110*Assumptions!$B$10/1000,"N/A")</f>
        <v>512</v>
      </c>
      <c r="V110" s="5" t="n">
        <f aca="false">F110*Q110*IF(N110="E-core (Sierra Forest)",Assumptions!$B$8,Assumptions!$B$4)/1000</f>
        <v>2.304</v>
      </c>
      <c r="W110" s="5" t="n">
        <f aca="false">F110*Q110*IF(N110="E-core (Sierra Forest)",Assumptions!$B$9,Assumptions!$B$5)/1000</f>
        <v>4.608</v>
      </c>
      <c r="X110" s="4" t="n">
        <f aca="false">IF(N110="E-core (Sierra Forest)","N/A (no AMX)",F110*Q110*Assumptions!$B$6/1000)</f>
        <v>73.728</v>
      </c>
      <c r="Y110" s="4" t="n">
        <f aca="false">IF(N110="E-core (Sierra Forest)","N/A (no AMX)",F110*Q110*Assumptions!$B$7/1000)</f>
        <v>147.456</v>
      </c>
      <c r="Z110" s="2" t="s">
        <v>38</v>
      </c>
    </row>
    <row r="111" customFormat="false" ht="53.7" hidden="false" customHeight="false" outlineLevel="0" collapsed="false">
      <c r="A111" s="2" t="s">
        <v>165</v>
      </c>
      <c r="B111" s="2" t="s">
        <v>180</v>
      </c>
      <c r="C111" s="2"/>
      <c r="D111" s="3" t="s">
        <v>29</v>
      </c>
      <c r="E111" s="2" t="s">
        <v>178</v>
      </c>
      <c r="F111" s="2" t="n">
        <v>16</v>
      </c>
      <c r="G111" s="2" t="n">
        <v>150</v>
      </c>
      <c r="H111" s="2" t="s">
        <v>145</v>
      </c>
      <c r="I111" s="2" t="s">
        <v>109</v>
      </c>
      <c r="J111" s="2" t="s">
        <v>32</v>
      </c>
      <c r="K111" s="2"/>
      <c r="L111" s="2" t="s">
        <v>182</v>
      </c>
      <c r="M111" s="2" t="s">
        <v>183</v>
      </c>
      <c r="N111" s="2" t="s">
        <v>36</v>
      </c>
      <c r="O111" s="2" t="s">
        <v>37</v>
      </c>
      <c r="P111" s="2" t="n">
        <v>8</v>
      </c>
      <c r="Q111" s="4" t="n">
        <v>2.3</v>
      </c>
      <c r="R111" s="2" t="n">
        <v>6400</v>
      </c>
      <c r="S111" s="2" t="n">
        <v>8000</v>
      </c>
      <c r="T111" s="4" t="n">
        <f aca="false">P111*R111*Assumptions!$B$10/1000</f>
        <v>409.6</v>
      </c>
      <c r="U111" s="4" t="n">
        <f aca="false">IF(ISNUMBER(S111),P111*S111*Assumptions!$B$10/1000,"N/A")</f>
        <v>512</v>
      </c>
      <c r="V111" s="5" t="n">
        <f aca="false">F111*Q111*IF(N111="E-core (Sierra Forest)",Assumptions!$B$8,Assumptions!$B$4)/1000</f>
        <v>1.1776</v>
      </c>
      <c r="W111" s="5" t="n">
        <f aca="false">F111*Q111*IF(N111="E-core (Sierra Forest)",Assumptions!$B$9,Assumptions!$B$5)/1000</f>
        <v>2.3552</v>
      </c>
      <c r="X111" s="4" t="n">
        <f aca="false">IF(N111="E-core (Sierra Forest)","N/A (no AMX)",F111*Q111*Assumptions!$B$6/1000)</f>
        <v>37.6832</v>
      </c>
      <c r="Y111" s="4" t="n">
        <f aca="false">IF(N111="E-core (Sierra Forest)","N/A (no AMX)",F111*Q111*Assumptions!$B$7/1000)</f>
        <v>75.3664</v>
      </c>
      <c r="Z111" s="2" t="s">
        <v>38</v>
      </c>
    </row>
    <row r="112" customFormat="false" ht="53.7" hidden="false" customHeight="false" outlineLevel="0" collapsed="false">
      <c r="A112" s="2" t="s">
        <v>165</v>
      </c>
      <c r="B112" s="2" t="s">
        <v>180</v>
      </c>
      <c r="C112" s="2"/>
      <c r="D112" s="6" t="s">
        <v>39</v>
      </c>
      <c r="E112" s="2" t="s">
        <v>120</v>
      </c>
      <c r="F112" s="2" t="n">
        <v>96</v>
      </c>
      <c r="G112" s="2" t="n">
        <v>400</v>
      </c>
      <c r="H112" s="2" t="s">
        <v>98</v>
      </c>
      <c r="I112" s="2" t="s">
        <v>58</v>
      </c>
      <c r="J112" s="2" t="s">
        <v>47</v>
      </c>
      <c r="K112" s="2"/>
      <c r="L112" s="2" t="s">
        <v>182</v>
      </c>
      <c r="M112" s="2" t="s">
        <v>183</v>
      </c>
      <c r="N112" s="2" t="s">
        <v>36</v>
      </c>
      <c r="O112" s="2" t="s">
        <v>48</v>
      </c>
      <c r="P112" s="2" t="n">
        <v>12</v>
      </c>
      <c r="Q112" s="4" t="n">
        <v>2.1</v>
      </c>
      <c r="R112" s="2" t="n">
        <v>6400</v>
      </c>
      <c r="S112" s="2" t="n">
        <v>8800</v>
      </c>
      <c r="T112" s="4" t="n">
        <f aca="false">P112*R112*Assumptions!$B$10/1000</f>
        <v>614.4</v>
      </c>
      <c r="U112" s="4" t="n">
        <f aca="false">IF(ISNUMBER(S112),P112*S112*Assumptions!$B$10/1000,"N/A")</f>
        <v>844.8</v>
      </c>
      <c r="V112" s="5" t="n">
        <f aca="false">F112*Q112*IF(N112="E-core (Sierra Forest)",Assumptions!$B$8,Assumptions!$B$4)/1000</f>
        <v>6.4512</v>
      </c>
      <c r="W112" s="5" t="n">
        <f aca="false">F112*Q112*IF(N112="E-core (Sierra Forest)",Assumptions!$B$9,Assumptions!$B$5)/1000</f>
        <v>12.9024</v>
      </c>
      <c r="X112" s="4" t="n">
        <f aca="false">IF(N112="E-core (Sierra Forest)","N/A (no AMX)",F112*Q112*Assumptions!$B$6/1000)</f>
        <v>206.4384</v>
      </c>
      <c r="Y112" s="4" t="n">
        <f aca="false">IF(N112="E-core (Sierra Forest)","N/A (no AMX)",F112*Q112*Assumptions!$B$7/1000)</f>
        <v>412.8768</v>
      </c>
      <c r="Z112" s="2" t="s">
        <v>38</v>
      </c>
    </row>
    <row r="113" customFormat="false" ht="53.7" hidden="false" customHeight="false" outlineLevel="0" collapsed="false">
      <c r="A113" s="2" t="s">
        <v>165</v>
      </c>
      <c r="B113" s="2" t="s">
        <v>180</v>
      </c>
      <c r="C113" s="2"/>
      <c r="D113" s="6" t="s">
        <v>39</v>
      </c>
      <c r="E113" s="2" t="s">
        <v>184</v>
      </c>
      <c r="F113" s="2" t="n">
        <v>32</v>
      </c>
      <c r="G113" s="2" t="n">
        <v>350</v>
      </c>
      <c r="H113" s="2" t="s">
        <v>173</v>
      </c>
      <c r="I113" s="2" t="s">
        <v>31</v>
      </c>
      <c r="J113" s="2" t="s">
        <v>46</v>
      </c>
      <c r="K113" s="2"/>
      <c r="L113" s="2" t="s">
        <v>182</v>
      </c>
      <c r="M113" s="2" t="s">
        <v>183</v>
      </c>
      <c r="N113" s="2" t="s">
        <v>36</v>
      </c>
      <c r="O113" s="2" t="s">
        <v>37</v>
      </c>
      <c r="P113" s="2" t="n">
        <v>8</v>
      </c>
      <c r="Q113" s="4" t="n">
        <v>2.5</v>
      </c>
      <c r="R113" s="2" t="n">
        <v>6400</v>
      </c>
      <c r="S113" s="2" t="n">
        <v>8000</v>
      </c>
      <c r="T113" s="4" t="n">
        <f aca="false">P113*R113*Assumptions!$B$10/1000</f>
        <v>409.6</v>
      </c>
      <c r="U113" s="4" t="n">
        <f aca="false">IF(ISNUMBER(S113),P113*S113*Assumptions!$B$10/1000,"N/A")</f>
        <v>512</v>
      </c>
      <c r="V113" s="5" t="n">
        <f aca="false">F113*Q113*IF(N113="E-core (Sierra Forest)",Assumptions!$B$8,Assumptions!$B$4)/1000</f>
        <v>2.56</v>
      </c>
      <c r="W113" s="5" t="n">
        <f aca="false">F113*Q113*IF(N113="E-core (Sierra Forest)",Assumptions!$B$9,Assumptions!$B$5)/1000</f>
        <v>5.12</v>
      </c>
      <c r="X113" s="4" t="n">
        <f aca="false">IF(N113="E-core (Sierra Forest)","N/A (no AMX)",F113*Q113*Assumptions!$B$6/1000)</f>
        <v>81.92</v>
      </c>
      <c r="Y113" s="4" t="n">
        <f aca="false">IF(N113="E-core (Sierra Forest)","N/A (no AMX)",F113*Q113*Assumptions!$B$7/1000)</f>
        <v>163.84</v>
      </c>
      <c r="Z113" s="2" t="s">
        <v>38</v>
      </c>
    </row>
    <row r="114" customFormat="false" ht="53.7" hidden="false" customHeight="false" outlineLevel="0" collapsed="false">
      <c r="A114" s="2" t="s">
        <v>165</v>
      </c>
      <c r="B114" s="2" t="s">
        <v>180</v>
      </c>
      <c r="C114" s="2"/>
      <c r="D114" s="6" t="s">
        <v>39</v>
      </c>
      <c r="E114" s="2" t="s">
        <v>179</v>
      </c>
      <c r="F114" s="2" t="n">
        <v>32</v>
      </c>
      <c r="G114" s="2" t="n">
        <v>245</v>
      </c>
      <c r="H114" s="2" t="s">
        <v>173</v>
      </c>
      <c r="I114" s="2" t="s">
        <v>47</v>
      </c>
      <c r="J114" s="2" t="s">
        <v>109</v>
      </c>
      <c r="K114" s="2"/>
      <c r="L114" s="2" t="s">
        <v>182</v>
      </c>
      <c r="M114" s="2" t="s">
        <v>183</v>
      </c>
      <c r="N114" s="2" t="s">
        <v>36</v>
      </c>
      <c r="O114" s="2" t="s">
        <v>37</v>
      </c>
      <c r="P114" s="2" t="n">
        <v>8</v>
      </c>
      <c r="Q114" s="4" t="n">
        <v>2.5</v>
      </c>
      <c r="R114" s="2" t="n">
        <v>6400</v>
      </c>
      <c r="S114" s="2" t="n">
        <v>8000</v>
      </c>
      <c r="T114" s="4" t="n">
        <f aca="false">P114*R114*Assumptions!$B$10/1000</f>
        <v>409.6</v>
      </c>
      <c r="U114" s="4" t="n">
        <f aca="false">IF(ISNUMBER(S114),P114*S114*Assumptions!$B$10/1000,"N/A")</f>
        <v>512</v>
      </c>
      <c r="V114" s="5" t="n">
        <f aca="false">F114*Q114*IF(N114="E-core (Sierra Forest)",Assumptions!$B$8,Assumptions!$B$4)/1000</f>
        <v>2.56</v>
      </c>
      <c r="W114" s="5" t="n">
        <f aca="false">F114*Q114*IF(N114="E-core (Sierra Forest)",Assumptions!$B$9,Assumptions!$B$5)/1000</f>
        <v>5.12</v>
      </c>
      <c r="X114" s="4" t="n">
        <f aca="false">IF(N114="E-core (Sierra Forest)","N/A (no AMX)",F114*Q114*Assumptions!$B$6/1000)</f>
        <v>81.92</v>
      </c>
      <c r="Y114" s="4" t="n">
        <f aca="false">IF(N114="E-core (Sierra Forest)","N/A (no AMX)",F114*Q114*Assumptions!$B$7/1000)</f>
        <v>163.84</v>
      </c>
      <c r="Z114" s="2" t="s">
        <v>38</v>
      </c>
    </row>
    <row r="115" customFormat="false" ht="53.7" hidden="false" customHeight="false" outlineLevel="0" collapsed="false">
      <c r="A115" s="2" t="s">
        <v>165</v>
      </c>
      <c r="B115" s="2" t="s">
        <v>180</v>
      </c>
      <c r="C115" s="2"/>
      <c r="D115" s="7" t="s">
        <v>43</v>
      </c>
      <c r="E115" s="2" t="s">
        <v>56</v>
      </c>
      <c r="F115" s="2" t="n">
        <v>128</v>
      </c>
      <c r="G115" s="2" t="n">
        <v>500</v>
      </c>
      <c r="H115" s="2" t="s">
        <v>57</v>
      </c>
      <c r="I115" s="2" t="s">
        <v>58</v>
      </c>
      <c r="J115" s="2" t="s">
        <v>47</v>
      </c>
      <c r="K115" s="2"/>
      <c r="L115" s="2" t="s">
        <v>182</v>
      </c>
      <c r="M115" s="2" t="s">
        <v>183</v>
      </c>
      <c r="N115" s="2" t="s">
        <v>36</v>
      </c>
      <c r="O115" s="2" t="s">
        <v>48</v>
      </c>
      <c r="P115" s="2" t="n">
        <v>12</v>
      </c>
      <c r="Q115" s="4" t="n">
        <v>2</v>
      </c>
      <c r="R115" s="2" t="n">
        <v>6400</v>
      </c>
      <c r="S115" s="2" t="n">
        <v>8800</v>
      </c>
      <c r="T115" s="4" t="n">
        <f aca="false">P115*R115*Assumptions!$B$10/1000</f>
        <v>614.4</v>
      </c>
      <c r="U115" s="4" t="n">
        <f aca="false">IF(ISNUMBER(S115),P115*S115*Assumptions!$B$10/1000,"N/A")</f>
        <v>844.8</v>
      </c>
      <c r="V115" s="5" t="n">
        <f aca="false">F115*Q115*IF(N115="E-core (Sierra Forest)",Assumptions!$B$8,Assumptions!$B$4)/1000</f>
        <v>8.192</v>
      </c>
      <c r="W115" s="5" t="n">
        <f aca="false">F115*Q115*IF(N115="E-core (Sierra Forest)",Assumptions!$B$9,Assumptions!$B$5)/1000</f>
        <v>16.384</v>
      </c>
      <c r="X115" s="4" t="n">
        <f aca="false">IF(N115="E-core (Sierra Forest)","N/A (no AMX)",F115*Q115*Assumptions!$B$6/1000)</f>
        <v>262.144</v>
      </c>
      <c r="Y115" s="4" t="n">
        <f aca="false">IF(N115="E-core (Sierra Forest)","N/A (no AMX)",F115*Q115*Assumptions!$B$7/1000)</f>
        <v>524.288</v>
      </c>
      <c r="Z115" s="2" t="s">
        <v>38</v>
      </c>
    </row>
    <row r="116" customFormat="false" ht="53.7" hidden="false" customHeight="false" outlineLevel="0" collapsed="false">
      <c r="A116" s="2" t="s">
        <v>165</v>
      </c>
      <c r="B116" s="2" t="s">
        <v>180</v>
      </c>
      <c r="C116" s="2"/>
      <c r="D116" s="7" t="s">
        <v>43</v>
      </c>
      <c r="E116" s="2" t="s">
        <v>121</v>
      </c>
      <c r="F116" s="2" t="n">
        <v>64</v>
      </c>
      <c r="G116" s="2" t="n">
        <v>330</v>
      </c>
      <c r="H116" s="2" t="s">
        <v>122</v>
      </c>
      <c r="I116" s="2" t="s">
        <v>123</v>
      </c>
      <c r="J116" s="2" t="s">
        <v>47</v>
      </c>
      <c r="K116" s="2"/>
      <c r="L116" s="2" t="s">
        <v>182</v>
      </c>
      <c r="M116" s="2" t="s">
        <v>183</v>
      </c>
      <c r="N116" s="2" t="s">
        <v>36</v>
      </c>
      <c r="O116" s="2" t="s">
        <v>37</v>
      </c>
      <c r="P116" s="2" t="n">
        <v>8</v>
      </c>
      <c r="Q116" s="4" t="n">
        <v>2.2</v>
      </c>
      <c r="R116" s="2" t="n">
        <v>6400</v>
      </c>
      <c r="S116" s="2" t="n">
        <v>8000</v>
      </c>
      <c r="T116" s="4" t="n">
        <f aca="false">P116*R116*Assumptions!$B$10/1000</f>
        <v>409.6</v>
      </c>
      <c r="U116" s="4" t="n">
        <f aca="false">IF(ISNUMBER(S116),P116*S116*Assumptions!$B$10/1000,"N/A")</f>
        <v>512</v>
      </c>
      <c r="V116" s="5" t="n">
        <f aca="false">F116*Q116*IF(N116="E-core (Sierra Forest)",Assumptions!$B$8,Assumptions!$B$4)/1000</f>
        <v>4.5056</v>
      </c>
      <c r="W116" s="5" t="n">
        <f aca="false">F116*Q116*IF(N116="E-core (Sierra Forest)",Assumptions!$B$9,Assumptions!$B$5)/1000</f>
        <v>9.0112</v>
      </c>
      <c r="X116" s="4" t="n">
        <f aca="false">IF(N116="E-core (Sierra Forest)","N/A (no AMX)",F116*Q116*Assumptions!$B$6/1000)</f>
        <v>144.1792</v>
      </c>
      <c r="Y116" s="4" t="n">
        <f aca="false">IF(N116="E-core (Sierra Forest)","N/A (no AMX)",F116*Q116*Assumptions!$B$7/1000)</f>
        <v>288.3584</v>
      </c>
      <c r="Z116" s="2" t="s">
        <v>38</v>
      </c>
    </row>
    <row r="117" customFormat="false" ht="53.7" hidden="false" customHeight="false" outlineLevel="0" collapsed="false">
      <c r="A117" s="2" t="s">
        <v>165</v>
      </c>
      <c r="B117" s="2" t="s">
        <v>180</v>
      </c>
      <c r="C117" s="2"/>
      <c r="D117" s="7" t="s">
        <v>43</v>
      </c>
      <c r="E117" s="2" t="s">
        <v>185</v>
      </c>
      <c r="F117" s="2" t="n">
        <v>64</v>
      </c>
      <c r="G117" s="2" t="n">
        <v>350</v>
      </c>
      <c r="H117" s="2" t="s">
        <v>173</v>
      </c>
      <c r="I117" s="2" t="s">
        <v>31</v>
      </c>
      <c r="J117" s="2" t="s">
        <v>47</v>
      </c>
      <c r="K117" s="2"/>
      <c r="L117" s="2" t="s">
        <v>182</v>
      </c>
      <c r="M117" s="2" t="s">
        <v>183</v>
      </c>
      <c r="N117" s="2" t="s">
        <v>36</v>
      </c>
      <c r="O117" s="2" t="s">
        <v>37</v>
      </c>
      <c r="P117" s="2" t="n">
        <v>8</v>
      </c>
      <c r="Q117" s="4" t="n">
        <v>2.5</v>
      </c>
      <c r="R117" s="2" t="n">
        <v>6400</v>
      </c>
      <c r="S117" s="2" t="n">
        <v>8000</v>
      </c>
      <c r="T117" s="4" t="n">
        <f aca="false">P117*R117*Assumptions!$B$10/1000</f>
        <v>409.6</v>
      </c>
      <c r="U117" s="4" t="n">
        <f aca="false">IF(ISNUMBER(S117),P117*S117*Assumptions!$B$10/1000,"N/A")</f>
        <v>512</v>
      </c>
      <c r="V117" s="5" t="n">
        <f aca="false">F117*Q117*IF(N117="E-core (Sierra Forest)",Assumptions!$B$8,Assumptions!$B$4)/1000</f>
        <v>5.12</v>
      </c>
      <c r="W117" s="5" t="n">
        <f aca="false">F117*Q117*IF(N117="E-core (Sierra Forest)",Assumptions!$B$9,Assumptions!$B$5)/1000</f>
        <v>10.24</v>
      </c>
      <c r="X117" s="4" t="n">
        <f aca="false">IF(N117="E-core (Sierra Forest)","N/A (no AMX)",F117*Q117*Assumptions!$B$6/1000)</f>
        <v>163.84</v>
      </c>
      <c r="Y117" s="4" t="n">
        <f aca="false">IF(N117="E-core (Sierra Forest)","N/A (no AMX)",F117*Q117*Assumptions!$B$7/1000)</f>
        <v>327.68</v>
      </c>
      <c r="Z117" s="2" t="s">
        <v>38</v>
      </c>
    </row>
    <row r="118" customFormat="false" ht="53.7" hidden="false" customHeight="false" outlineLevel="0" collapsed="false">
      <c r="A118" s="2" t="s">
        <v>165</v>
      </c>
      <c r="B118" s="2" t="s">
        <v>186</v>
      </c>
      <c r="C118" s="2"/>
      <c r="D118" s="3" t="s">
        <v>29</v>
      </c>
      <c r="E118" s="2" t="s">
        <v>167</v>
      </c>
      <c r="F118" s="2" t="n">
        <v>24</v>
      </c>
      <c r="G118" s="2" t="n">
        <v>255</v>
      </c>
      <c r="H118" s="2" t="s">
        <v>168</v>
      </c>
      <c r="I118" s="2" t="s">
        <v>32</v>
      </c>
      <c r="J118" s="2" t="s">
        <v>32</v>
      </c>
      <c r="K118" s="2"/>
      <c r="L118" s="2" t="s">
        <v>187</v>
      </c>
      <c r="M118" s="2" t="s">
        <v>188</v>
      </c>
      <c r="N118" s="2" t="s">
        <v>36</v>
      </c>
      <c r="O118" s="2" t="s">
        <v>37</v>
      </c>
      <c r="P118" s="2" t="n">
        <v>8</v>
      </c>
      <c r="Q118" s="4" t="n">
        <v>3</v>
      </c>
      <c r="R118" s="2" t="n">
        <v>6400</v>
      </c>
      <c r="S118" s="2" t="n">
        <v>8000</v>
      </c>
      <c r="T118" s="4" t="n">
        <f aca="false">P118*R118*Assumptions!$B$10/1000</f>
        <v>409.6</v>
      </c>
      <c r="U118" s="4" t="n">
        <f aca="false">IF(ISNUMBER(S118),P118*S118*Assumptions!$B$10/1000,"N/A")</f>
        <v>512</v>
      </c>
      <c r="V118" s="5" t="n">
        <f aca="false">F118*Q118*IF(N118="E-core (Sierra Forest)",Assumptions!$B$8,Assumptions!$B$4)/1000</f>
        <v>2.304</v>
      </c>
      <c r="W118" s="5" t="n">
        <f aca="false">F118*Q118*IF(N118="E-core (Sierra Forest)",Assumptions!$B$9,Assumptions!$B$5)/1000</f>
        <v>4.608</v>
      </c>
      <c r="X118" s="4" t="n">
        <f aca="false">IF(N118="E-core (Sierra Forest)","N/A (no AMX)",F118*Q118*Assumptions!$B$6/1000)</f>
        <v>73.728</v>
      </c>
      <c r="Y118" s="4" t="n">
        <f aca="false">IF(N118="E-core (Sierra Forest)","N/A (no AMX)",F118*Q118*Assumptions!$B$7/1000)</f>
        <v>147.456</v>
      </c>
      <c r="Z118" s="2" t="s">
        <v>38</v>
      </c>
    </row>
    <row r="119" customFormat="false" ht="53.7" hidden="false" customHeight="false" outlineLevel="0" collapsed="false">
      <c r="A119" s="2" t="s">
        <v>165</v>
      </c>
      <c r="B119" s="2" t="s">
        <v>186</v>
      </c>
      <c r="C119" s="2"/>
      <c r="D119" s="3" t="s">
        <v>29</v>
      </c>
      <c r="E119" s="2" t="s">
        <v>178</v>
      </c>
      <c r="F119" s="2" t="n">
        <v>16</v>
      </c>
      <c r="G119" s="2" t="n">
        <v>150</v>
      </c>
      <c r="H119" s="2" t="s">
        <v>145</v>
      </c>
      <c r="I119" s="2" t="s">
        <v>109</v>
      </c>
      <c r="J119" s="2" t="s">
        <v>32</v>
      </c>
      <c r="K119" s="2"/>
      <c r="L119" s="2" t="s">
        <v>187</v>
      </c>
      <c r="M119" s="2" t="s">
        <v>188</v>
      </c>
      <c r="N119" s="2" t="s">
        <v>36</v>
      </c>
      <c r="O119" s="2" t="s">
        <v>37</v>
      </c>
      <c r="P119" s="2" t="n">
        <v>8</v>
      </c>
      <c r="Q119" s="4" t="n">
        <v>2.3</v>
      </c>
      <c r="R119" s="2" t="n">
        <v>6400</v>
      </c>
      <c r="S119" s="2" t="n">
        <v>8000</v>
      </c>
      <c r="T119" s="4" t="n">
        <f aca="false">P119*R119*Assumptions!$B$10/1000</f>
        <v>409.6</v>
      </c>
      <c r="U119" s="4" t="n">
        <f aca="false">IF(ISNUMBER(S119),P119*S119*Assumptions!$B$10/1000,"N/A")</f>
        <v>512</v>
      </c>
      <c r="V119" s="5" t="n">
        <f aca="false">F119*Q119*IF(N119="E-core (Sierra Forest)",Assumptions!$B$8,Assumptions!$B$4)/1000</f>
        <v>1.1776</v>
      </c>
      <c r="W119" s="5" t="n">
        <f aca="false">F119*Q119*IF(N119="E-core (Sierra Forest)",Assumptions!$B$9,Assumptions!$B$5)/1000</f>
        <v>2.3552</v>
      </c>
      <c r="X119" s="4" t="n">
        <f aca="false">IF(N119="E-core (Sierra Forest)","N/A (no AMX)",F119*Q119*Assumptions!$B$6/1000)</f>
        <v>37.6832</v>
      </c>
      <c r="Y119" s="4" t="n">
        <f aca="false">IF(N119="E-core (Sierra Forest)","N/A (no AMX)",F119*Q119*Assumptions!$B$7/1000)</f>
        <v>75.3664</v>
      </c>
      <c r="Z119" s="2" t="s">
        <v>38</v>
      </c>
    </row>
    <row r="120" customFormat="false" ht="53.7" hidden="false" customHeight="false" outlineLevel="0" collapsed="false">
      <c r="A120" s="2" t="s">
        <v>165</v>
      </c>
      <c r="B120" s="2" t="s">
        <v>186</v>
      </c>
      <c r="C120" s="2"/>
      <c r="D120" s="6" t="s">
        <v>39</v>
      </c>
      <c r="E120" s="2" t="s">
        <v>189</v>
      </c>
      <c r="F120" s="2" t="n">
        <v>36</v>
      </c>
      <c r="G120" s="2" t="n">
        <v>205</v>
      </c>
      <c r="H120" s="2" t="s">
        <v>57</v>
      </c>
      <c r="I120" s="2" t="s">
        <v>123</v>
      </c>
      <c r="J120" s="2" t="s">
        <v>109</v>
      </c>
      <c r="K120" s="2"/>
      <c r="L120" s="2" t="s">
        <v>187</v>
      </c>
      <c r="M120" s="2" t="s">
        <v>188</v>
      </c>
      <c r="N120" s="2" t="s">
        <v>36</v>
      </c>
      <c r="O120" s="2" t="s">
        <v>37</v>
      </c>
      <c r="P120" s="2" t="n">
        <v>8</v>
      </c>
      <c r="Q120" s="4" t="n">
        <v>2</v>
      </c>
      <c r="R120" s="2" t="n">
        <v>6400</v>
      </c>
      <c r="S120" s="2" t="n">
        <v>8000</v>
      </c>
      <c r="T120" s="4" t="n">
        <f aca="false">P120*R120*Assumptions!$B$10/1000</f>
        <v>409.6</v>
      </c>
      <c r="U120" s="4" t="n">
        <f aca="false">IF(ISNUMBER(S120),P120*S120*Assumptions!$B$10/1000,"N/A")</f>
        <v>512</v>
      </c>
      <c r="V120" s="5" t="n">
        <f aca="false">F120*Q120*IF(N120="E-core (Sierra Forest)",Assumptions!$B$8,Assumptions!$B$4)/1000</f>
        <v>2.304</v>
      </c>
      <c r="W120" s="5" t="n">
        <f aca="false">F120*Q120*IF(N120="E-core (Sierra Forest)",Assumptions!$B$9,Assumptions!$B$5)/1000</f>
        <v>4.608</v>
      </c>
      <c r="X120" s="4" t="n">
        <f aca="false">IF(N120="E-core (Sierra Forest)","N/A (no AMX)",F120*Q120*Assumptions!$B$6/1000)</f>
        <v>73.728</v>
      </c>
      <c r="Y120" s="4" t="n">
        <f aca="false">IF(N120="E-core (Sierra Forest)","N/A (no AMX)",F120*Q120*Assumptions!$B$7/1000)</f>
        <v>147.456</v>
      </c>
      <c r="Z120" s="2" t="s">
        <v>38</v>
      </c>
    </row>
    <row r="121" customFormat="false" ht="53.7" hidden="false" customHeight="false" outlineLevel="0" collapsed="false">
      <c r="A121" s="2" t="s">
        <v>165</v>
      </c>
      <c r="B121" s="2" t="s">
        <v>186</v>
      </c>
      <c r="C121" s="2"/>
      <c r="D121" s="6" t="s">
        <v>39</v>
      </c>
      <c r="E121" s="2" t="s">
        <v>179</v>
      </c>
      <c r="F121" s="2" t="n">
        <v>32</v>
      </c>
      <c r="G121" s="2" t="n">
        <v>245</v>
      </c>
      <c r="H121" s="2" t="s">
        <v>173</v>
      </c>
      <c r="I121" s="2" t="s">
        <v>47</v>
      </c>
      <c r="J121" s="2" t="s">
        <v>109</v>
      </c>
      <c r="K121" s="2"/>
      <c r="L121" s="2" t="s">
        <v>187</v>
      </c>
      <c r="M121" s="2" t="s">
        <v>188</v>
      </c>
      <c r="N121" s="2" t="s">
        <v>36</v>
      </c>
      <c r="O121" s="2" t="s">
        <v>37</v>
      </c>
      <c r="P121" s="2" t="n">
        <v>8</v>
      </c>
      <c r="Q121" s="4" t="n">
        <v>2.5</v>
      </c>
      <c r="R121" s="2" t="n">
        <v>6400</v>
      </c>
      <c r="S121" s="2" t="n">
        <v>8000</v>
      </c>
      <c r="T121" s="4" t="n">
        <f aca="false">P121*R121*Assumptions!$B$10/1000</f>
        <v>409.6</v>
      </c>
      <c r="U121" s="4" t="n">
        <f aca="false">IF(ISNUMBER(S121),P121*S121*Assumptions!$B$10/1000,"N/A")</f>
        <v>512</v>
      </c>
      <c r="V121" s="5" t="n">
        <f aca="false">F121*Q121*IF(N121="E-core (Sierra Forest)",Assumptions!$B$8,Assumptions!$B$4)/1000</f>
        <v>2.56</v>
      </c>
      <c r="W121" s="5" t="n">
        <f aca="false">F121*Q121*IF(N121="E-core (Sierra Forest)",Assumptions!$B$9,Assumptions!$B$5)/1000</f>
        <v>5.12</v>
      </c>
      <c r="X121" s="4" t="n">
        <f aca="false">IF(N121="E-core (Sierra Forest)","N/A (no AMX)",F121*Q121*Assumptions!$B$6/1000)</f>
        <v>81.92</v>
      </c>
      <c r="Y121" s="4" t="n">
        <f aca="false">IF(N121="E-core (Sierra Forest)","N/A (no AMX)",F121*Q121*Assumptions!$B$7/1000)</f>
        <v>163.84</v>
      </c>
      <c r="Z121" s="2" t="s">
        <v>38</v>
      </c>
    </row>
    <row r="122" customFormat="false" ht="53.7" hidden="false" customHeight="false" outlineLevel="0" collapsed="false">
      <c r="A122" s="2" t="s">
        <v>165</v>
      </c>
      <c r="B122" s="2" t="s">
        <v>186</v>
      </c>
      <c r="C122" s="2"/>
      <c r="D122" s="7" t="s">
        <v>43</v>
      </c>
      <c r="E122" s="2" t="s">
        <v>60</v>
      </c>
      <c r="F122" s="2" t="n">
        <v>48</v>
      </c>
      <c r="G122" s="2" t="n">
        <v>330</v>
      </c>
      <c r="H122" s="2" t="s">
        <v>45</v>
      </c>
      <c r="I122" s="2" t="s">
        <v>46</v>
      </c>
      <c r="J122" s="2" t="s">
        <v>47</v>
      </c>
      <c r="K122" s="2"/>
      <c r="L122" s="2" t="s">
        <v>187</v>
      </c>
      <c r="M122" s="2" t="s">
        <v>188</v>
      </c>
      <c r="N122" s="2" t="s">
        <v>36</v>
      </c>
      <c r="O122" s="2" t="s">
        <v>37</v>
      </c>
      <c r="P122" s="2" t="n">
        <v>8</v>
      </c>
      <c r="Q122" s="4" t="n">
        <v>2.7</v>
      </c>
      <c r="R122" s="2" t="n">
        <v>6400</v>
      </c>
      <c r="S122" s="2" t="n">
        <v>8000</v>
      </c>
      <c r="T122" s="4" t="n">
        <f aca="false">P122*R122*Assumptions!$B$10/1000</f>
        <v>409.6</v>
      </c>
      <c r="U122" s="4" t="n">
        <f aca="false">IF(ISNUMBER(S122),P122*S122*Assumptions!$B$10/1000,"N/A")</f>
        <v>512</v>
      </c>
      <c r="V122" s="5" t="n">
        <f aca="false">F122*Q122*IF(N122="E-core (Sierra Forest)",Assumptions!$B$8,Assumptions!$B$4)/1000</f>
        <v>4.1472</v>
      </c>
      <c r="W122" s="5" t="n">
        <f aca="false">F122*Q122*IF(N122="E-core (Sierra Forest)",Assumptions!$B$9,Assumptions!$B$5)/1000</f>
        <v>8.2944</v>
      </c>
      <c r="X122" s="4" t="n">
        <f aca="false">IF(N122="E-core (Sierra Forest)","N/A (no AMX)",F122*Q122*Assumptions!$B$6/1000)</f>
        <v>132.7104</v>
      </c>
      <c r="Y122" s="4" t="n">
        <f aca="false">IF(N122="E-core (Sierra Forest)","N/A (no AMX)",F122*Q122*Assumptions!$B$7/1000)</f>
        <v>265.4208</v>
      </c>
      <c r="Z122" s="2" t="s">
        <v>38</v>
      </c>
    </row>
    <row r="123" customFormat="false" ht="53.7" hidden="false" customHeight="false" outlineLevel="0" collapsed="false">
      <c r="A123" s="2" t="s">
        <v>165</v>
      </c>
      <c r="B123" s="2" t="s">
        <v>186</v>
      </c>
      <c r="C123" s="2"/>
      <c r="D123" s="7" t="s">
        <v>43</v>
      </c>
      <c r="E123" s="2" t="s">
        <v>174</v>
      </c>
      <c r="F123" s="2" t="n">
        <v>80</v>
      </c>
      <c r="G123" s="2" t="n">
        <v>350</v>
      </c>
      <c r="H123" s="2" t="s">
        <v>57</v>
      </c>
      <c r="I123" s="2" t="s">
        <v>58</v>
      </c>
      <c r="J123" s="2" t="s">
        <v>46</v>
      </c>
      <c r="K123" s="2"/>
      <c r="L123" s="2" t="s">
        <v>187</v>
      </c>
      <c r="M123" s="2" t="s">
        <v>188</v>
      </c>
      <c r="N123" s="2" t="s">
        <v>36</v>
      </c>
      <c r="O123" s="2" t="s">
        <v>37</v>
      </c>
      <c r="P123" s="2" t="n">
        <v>8</v>
      </c>
      <c r="Q123" s="4" t="n">
        <v>2</v>
      </c>
      <c r="R123" s="2" t="n">
        <v>6400</v>
      </c>
      <c r="S123" s="2" t="n">
        <v>8000</v>
      </c>
      <c r="T123" s="4" t="n">
        <f aca="false">P123*R123*Assumptions!$B$10/1000</f>
        <v>409.6</v>
      </c>
      <c r="U123" s="4" t="n">
        <f aca="false">IF(ISNUMBER(S123),P123*S123*Assumptions!$B$10/1000,"N/A")</f>
        <v>512</v>
      </c>
      <c r="V123" s="5" t="n">
        <f aca="false">F123*Q123*IF(N123="E-core (Sierra Forest)",Assumptions!$B$8,Assumptions!$B$4)/1000</f>
        <v>5.12</v>
      </c>
      <c r="W123" s="5" t="n">
        <f aca="false">F123*Q123*IF(N123="E-core (Sierra Forest)",Assumptions!$B$9,Assumptions!$B$5)/1000</f>
        <v>10.24</v>
      </c>
      <c r="X123" s="4" t="n">
        <f aca="false">IF(N123="E-core (Sierra Forest)","N/A (no AMX)",F123*Q123*Assumptions!$B$6/1000)</f>
        <v>163.84</v>
      </c>
      <c r="Y123" s="4" t="n">
        <f aca="false">IF(N123="E-core (Sierra Forest)","N/A (no AMX)",F123*Q123*Assumptions!$B$7/1000)</f>
        <v>327.68</v>
      </c>
      <c r="Z123" s="2" t="s">
        <v>38</v>
      </c>
    </row>
    <row r="124" customFormat="false" ht="53.7" hidden="false" customHeight="false" outlineLevel="0" collapsed="false">
      <c r="A124" s="2" t="s">
        <v>190</v>
      </c>
      <c r="B124" s="2" t="s">
        <v>191</v>
      </c>
      <c r="C124" s="2" t="s">
        <v>192</v>
      </c>
      <c r="D124" s="3" t="s">
        <v>29</v>
      </c>
      <c r="E124" s="2" t="s">
        <v>193</v>
      </c>
      <c r="F124" s="2" t="n">
        <v>32</v>
      </c>
      <c r="G124" s="2" t="n">
        <v>245</v>
      </c>
      <c r="H124" s="2" t="s">
        <v>173</v>
      </c>
      <c r="I124" s="2" t="s">
        <v>47</v>
      </c>
      <c r="J124" s="2" t="s">
        <v>109</v>
      </c>
      <c r="K124" s="2"/>
      <c r="L124" s="2" t="s">
        <v>194</v>
      </c>
      <c r="M124" s="2" t="s">
        <v>170</v>
      </c>
      <c r="N124" s="2" t="s">
        <v>36</v>
      </c>
      <c r="O124" s="2" t="s">
        <v>37</v>
      </c>
      <c r="P124" s="2" t="n">
        <v>8</v>
      </c>
      <c r="Q124" s="4" t="n">
        <v>2.5</v>
      </c>
      <c r="R124" s="2" t="n">
        <v>6400</v>
      </c>
      <c r="S124" s="2" t="n">
        <v>8000</v>
      </c>
      <c r="T124" s="4" t="n">
        <f aca="false">P124*R124*Assumptions!$B$10/1000</f>
        <v>409.6</v>
      </c>
      <c r="U124" s="4" t="n">
        <f aca="false">IF(ISNUMBER(S124),P124*S124*Assumptions!$B$10/1000,"N/A")</f>
        <v>512</v>
      </c>
      <c r="V124" s="5" t="n">
        <f aca="false">F124*Q124*IF(N124="E-core (Sierra Forest)",Assumptions!$B$8,Assumptions!$B$4)/1000</f>
        <v>2.56</v>
      </c>
      <c r="W124" s="5" t="n">
        <f aca="false">F124*Q124*IF(N124="E-core (Sierra Forest)",Assumptions!$B$9,Assumptions!$B$5)/1000</f>
        <v>5.12</v>
      </c>
      <c r="X124" s="4" t="n">
        <f aca="false">IF(N124="E-core (Sierra Forest)","N/A (no AMX)",F124*Q124*Assumptions!$B$6/1000)</f>
        <v>81.92</v>
      </c>
      <c r="Y124" s="4" t="n">
        <f aca="false">IF(N124="E-core (Sierra Forest)","N/A (no AMX)",F124*Q124*Assumptions!$B$7/1000)</f>
        <v>163.84</v>
      </c>
      <c r="Z124" s="2" t="s">
        <v>38</v>
      </c>
    </row>
    <row r="125" customFormat="false" ht="53.7" hidden="false" customHeight="false" outlineLevel="0" collapsed="false">
      <c r="A125" s="2" t="s">
        <v>190</v>
      </c>
      <c r="B125" s="2" t="s">
        <v>191</v>
      </c>
      <c r="C125" s="2" t="s">
        <v>192</v>
      </c>
      <c r="D125" s="3" t="s">
        <v>29</v>
      </c>
      <c r="E125" s="2" t="s">
        <v>195</v>
      </c>
      <c r="F125" s="2" t="n">
        <v>24</v>
      </c>
      <c r="G125" s="2" t="n">
        <v>225</v>
      </c>
      <c r="H125" s="2" t="s">
        <v>63</v>
      </c>
      <c r="I125" s="2" t="s">
        <v>109</v>
      </c>
      <c r="J125" s="2" t="s">
        <v>109</v>
      </c>
      <c r="K125" s="2"/>
      <c r="L125" s="2" t="s">
        <v>194</v>
      </c>
      <c r="M125" s="2" t="s">
        <v>170</v>
      </c>
      <c r="N125" s="2" t="s">
        <v>36</v>
      </c>
      <c r="O125" s="2" t="s">
        <v>37</v>
      </c>
      <c r="P125" s="2" t="n">
        <v>8</v>
      </c>
      <c r="Q125" s="4" t="n">
        <v>2.6</v>
      </c>
      <c r="R125" s="2" t="n">
        <v>6400</v>
      </c>
      <c r="S125" s="2" t="n">
        <v>8000</v>
      </c>
      <c r="T125" s="4" t="n">
        <f aca="false">P125*R125*Assumptions!$B$10/1000</f>
        <v>409.6</v>
      </c>
      <c r="U125" s="4" t="n">
        <f aca="false">IF(ISNUMBER(S125),P125*S125*Assumptions!$B$10/1000,"N/A")</f>
        <v>512</v>
      </c>
      <c r="V125" s="5" t="n">
        <f aca="false">F125*Q125*IF(N125="E-core (Sierra Forest)",Assumptions!$B$8,Assumptions!$B$4)/1000</f>
        <v>1.9968</v>
      </c>
      <c r="W125" s="5" t="n">
        <f aca="false">F125*Q125*IF(N125="E-core (Sierra Forest)",Assumptions!$B$9,Assumptions!$B$5)/1000</f>
        <v>3.9936</v>
      </c>
      <c r="X125" s="4" t="n">
        <f aca="false">IF(N125="E-core (Sierra Forest)","N/A (no AMX)",F125*Q125*Assumptions!$B$6/1000)</f>
        <v>63.8976</v>
      </c>
      <c r="Y125" s="4" t="n">
        <f aca="false">IF(N125="E-core (Sierra Forest)","N/A (no AMX)",F125*Q125*Assumptions!$B$7/1000)</f>
        <v>127.7952</v>
      </c>
      <c r="Z125" s="2" t="s">
        <v>38</v>
      </c>
    </row>
    <row r="126" customFormat="false" ht="53.7" hidden="false" customHeight="false" outlineLevel="0" collapsed="false">
      <c r="A126" s="2" t="s">
        <v>190</v>
      </c>
      <c r="B126" s="2" t="s">
        <v>191</v>
      </c>
      <c r="C126" s="2" t="s">
        <v>192</v>
      </c>
      <c r="D126" s="6" t="s">
        <v>39</v>
      </c>
      <c r="E126" s="2" t="s">
        <v>196</v>
      </c>
      <c r="F126" s="2" t="n">
        <v>64</v>
      </c>
      <c r="G126" s="2" t="n">
        <v>350</v>
      </c>
      <c r="H126" s="2" t="s">
        <v>173</v>
      </c>
      <c r="I126" s="2" t="s">
        <v>31</v>
      </c>
      <c r="J126" s="2" t="s">
        <v>47</v>
      </c>
      <c r="K126" s="2"/>
      <c r="L126" s="2" t="s">
        <v>194</v>
      </c>
      <c r="M126" s="2" t="s">
        <v>170</v>
      </c>
      <c r="N126" s="2" t="s">
        <v>36</v>
      </c>
      <c r="O126" s="2" t="s">
        <v>37</v>
      </c>
      <c r="P126" s="2" t="n">
        <v>8</v>
      </c>
      <c r="Q126" s="4" t="n">
        <v>2.5</v>
      </c>
      <c r="R126" s="2" t="n">
        <v>6400</v>
      </c>
      <c r="S126" s="2" t="n">
        <v>8000</v>
      </c>
      <c r="T126" s="4" t="n">
        <f aca="false">P126*R126*Assumptions!$B$10/1000</f>
        <v>409.6</v>
      </c>
      <c r="U126" s="4" t="n">
        <f aca="false">IF(ISNUMBER(S126),P126*S126*Assumptions!$B$10/1000,"N/A")</f>
        <v>512</v>
      </c>
      <c r="V126" s="5" t="n">
        <f aca="false">F126*Q126*IF(N126="E-core (Sierra Forest)",Assumptions!$B$8,Assumptions!$B$4)/1000</f>
        <v>5.12</v>
      </c>
      <c r="W126" s="5" t="n">
        <f aca="false">F126*Q126*IF(N126="E-core (Sierra Forest)",Assumptions!$B$9,Assumptions!$B$5)/1000</f>
        <v>10.24</v>
      </c>
      <c r="X126" s="4" t="n">
        <f aca="false">IF(N126="E-core (Sierra Forest)","N/A (no AMX)",F126*Q126*Assumptions!$B$6/1000)</f>
        <v>163.84</v>
      </c>
      <c r="Y126" s="4" t="n">
        <f aca="false">IF(N126="E-core (Sierra Forest)","N/A (no AMX)",F126*Q126*Assumptions!$B$7/1000)</f>
        <v>327.68</v>
      </c>
      <c r="Z126" s="2" t="s">
        <v>38</v>
      </c>
    </row>
    <row r="127" customFormat="false" ht="53.7" hidden="false" customHeight="false" outlineLevel="0" collapsed="false">
      <c r="A127" s="2" t="s">
        <v>190</v>
      </c>
      <c r="B127" s="2" t="s">
        <v>191</v>
      </c>
      <c r="C127" s="2" t="s">
        <v>192</v>
      </c>
      <c r="D127" s="6" t="s">
        <v>39</v>
      </c>
      <c r="E127" s="2" t="s">
        <v>197</v>
      </c>
      <c r="F127" s="2" t="n">
        <v>48</v>
      </c>
      <c r="G127" s="2" t="n">
        <v>300</v>
      </c>
      <c r="H127" s="2" t="s">
        <v>173</v>
      </c>
      <c r="I127" s="2" t="s">
        <v>157</v>
      </c>
      <c r="J127" s="2" t="s">
        <v>46</v>
      </c>
      <c r="K127" s="2"/>
      <c r="L127" s="2" t="s">
        <v>194</v>
      </c>
      <c r="M127" s="2" t="s">
        <v>170</v>
      </c>
      <c r="N127" s="2" t="s">
        <v>36</v>
      </c>
      <c r="O127" s="2" t="s">
        <v>37</v>
      </c>
      <c r="P127" s="2" t="n">
        <v>8</v>
      </c>
      <c r="Q127" s="4" t="n">
        <v>2.5</v>
      </c>
      <c r="R127" s="2" t="n">
        <v>6400</v>
      </c>
      <c r="S127" s="2" t="n">
        <v>8000</v>
      </c>
      <c r="T127" s="4" t="n">
        <f aca="false">P127*R127*Assumptions!$B$10/1000</f>
        <v>409.6</v>
      </c>
      <c r="U127" s="4" t="n">
        <f aca="false">IF(ISNUMBER(S127),P127*S127*Assumptions!$B$10/1000,"N/A")</f>
        <v>512</v>
      </c>
      <c r="V127" s="5" t="n">
        <f aca="false">F127*Q127*IF(N127="E-core (Sierra Forest)",Assumptions!$B$8,Assumptions!$B$4)/1000</f>
        <v>3.84</v>
      </c>
      <c r="W127" s="5" t="n">
        <f aca="false">F127*Q127*IF(N127="E-core (Sierra Forest)",Assumptions!$B$9,Assumptions!$B$5)/1000</f>
        <v>7.68</v>
      </c>
      <c r="X127" s="4" t="n">
        <f aca="false">IF(N127="E-core (Sierra Forest)","N/A (no AMX)",F127*Q127*Assumptions!$B$6/1000)</f>
        <v>122.88</v>
      </c>
      <c r="Y127" s="4" t="n">
        <f aca="false">IF(N127="E-core (Sierra Forest)","N/A (no AMX)",F127*Q127*Assumptions!$B$7/1000)</f>
        <v>245.76</v>
      </c>
      <c r="Z127" s="2" t="s">
        <v>38</v>
      </c>
    </row>
    <row r="128" customFormat="false" ht="53.7" hidden="false" customHeight="false" outlineLevel="0" collapsed="false">
      <c r="A128" s="2" t="s">
        <v>190</v>
      </c>
      <c r="B128" s="2" t="s">
        <v>191</v>
      </c>
      <c r="C128" s="2" t="s">
        <v>192</v>
      </c>
      <c r="D128" s="7" t="s">
        <v>43</v>
      </c>
      <c r="E128" s="2" t="s">
        <v>198</v>
      </c>
      <c r="F128" s="2" t="n">
        <v>80</v>
      </c>
      <c r="G128" s="2" t="n">
        <v>350</v>
      </c>
      <c r="H128" s="2" t="s">
        <v>57</v>
      </c>
      <c r="I128" s="2" t="s">
        <v>58</v>
      </c>
      <c r="J128" s="2" t="s">
        <v>46</v>
      </c>
      <c r="K128" s="2"/>
      <c r="L128" s="2" t="s">
        <v>194</v>
      </c>
      <c r="M128" s="2" t="s">
        <v>170</v>
      </c>
      <c r="N128" s="2" t="s">
        <v>36</v>
      </c>
      <c r="O128" s="2" t="s">
        <v>37</v>
      </c>
      <c r="P128" s="2" t="n">
        <v>8</v>
      </c>
      <c r="Q128" s="4" t="n">
        <v>2</v>
      </c>
      <c r="R128" s="2" t="n">
        <v>6400</v>
      </c>
      <c r="S128" s="2" t="n">
        <v>8000</v>
      </c>
      <c r="T128" s="4" t="n">
        <f aca="false">P128*R128*Assumptions!$B$10/1000</f>
        <v>409.6</v>
      </c>
      <c r="U128" s="4" t="n">
        <f aca="false">IF(ISNUMBER(S128),P128*S128*Assumptions!$B$10/1000,"N/A")</f>
        <v>512</v>
      </c>
      <c r="V128" s="5" t="n">
        <f aca="false">F128*Q128*IF(N128="E-core (Sierra Forest)",Assumptions!$B$8,Assumptions!$B$4)/1000</f>
        <v>5.12</v>
      </c>
      <c r="W128" s="5" t="n">
        <f aca="false">F128*Q128*IF(N128="E-core (Sierra Forest)",Assumptions!$B$9,Assumptions!$B$5)/1000</f>
        <v>10.24</v>
      </c>
      <c r="X128" s="4" t="n">
        <f aca="false">IF(N128="E-core (Sierra Forest)","N/A (no AMX)",F128*Q128*Assumptions!$B$6/1000)</f>
        <v>163.84</v>
      </c>
      <c r="Y128" s="4" t="n">
        <f aca="false">IF(N128="E-core (Sierra Forest)","N/A (no AMX)",F128*Q128*Assumptions!$B$7/1000)</f>
        <v>327.68</v>
      </c>
      <c r="Z128" s="2" t="s">
        <v>38</v>
      </c>
    </row>
    <row r="129" customFormat="false" ht="43.25" hidden="false" customHeight="false" outlineLevel="0" collapsed="false">
      <c r="A129" s="2" t="s">
        <v>190</v>
      </c>
      <c r="B129" s="2" t="s">
        <v>199</v>
      </c>
      <c r="C129" s="2" t="s">
        <v>200</v>
      </c>
      <c r="D129" s="3" t="s">
        <v>29</v>
      </c>
      <c r="E129" s="2" t="s">
        <v>201</v>
      </c>
      <c r="F129" s="2" t="n">
        <v>16</v>
      </c>
      <c r="G129" s="2" t="n">
        <v>150</v>
      </c>
      <c r="H129" s="2" t="s">
        <v>145</v>
      </c>
      <c r="I129" s="2" t="s">
        <v>109</v>
      </c>
      <c r="J129" s="2" t="s">
        <v>32</v>
      </c>
      <c r="K129" s="2"/>
      <c r="L129" s="2" t="s">
        <v>202</v>
      </c>
      <c r="M129" s="2" t="s">
        <v>203</v>
      </c>
      <c r="N129" s="2" t="s">
        <v>36</v>
      </c>
      <c r="O129" s="2" t="s">
        <v>37</v>
      </c>
      <c r="P129" s="2" t="n">
        <v>8</v>
      </c>
      <c r="Q129" s="4" t="n">
        <v>2.3</v>
      </c>
      <c r="R129" s="2" t="n">
        <v>6400</v>
      </c>
      <c r="S129" s="2" t="n">
        <v>8000</v>
      </c>
      <c r="T129" s="4" t="n">
        <f aca="false">P129*R129*Assumptions!$B$10/1000</f>
        <v>409.6</v>
      </c>
      <c r="U129" s="4" t="n">
        <f aca="false">IF(ISNUMBER(S129),P129*S129*Assumptions!$B$10/1000,"N/A")</f>
        <v>512</v>
      </c>
      <c r="V129" s="5" t="n">
        <f aca="false">F129*Q129*IF(N129="E-core (Sierra Forest)",Assumptions!$B$8,Assumptions!$B$4)/1000</f>
        <v>1.1776</v>
      </c>
      <c r="W129" s="5" t="n">
        <f aca="false">F129*Q129*IF(N129="E-core (Sierra Forest)",Assumptions!$B$9,Assumptions!$B$5)/1000</f>
        <v>2.3552</v>
      </c>
      <c r="X129" s="4" t="n">
        <f aca="false">IF(N129="E-core (Sierra Forest)","N/A (no AMX)",F129*Q129*Assumptions!$B$6/1000)</f>
        <v>37.6832</v>
      </c>
      <c r="Y129" s="4" t="n">
        <f aca="false">IF(N129="E-core (Sierra Forest)","N/A (no AMX)",F129*Q129*Assumptions!$B$7/1000)</f>
        <v>75.3664</v>
      </c>
      <c r="Z129" s="2" t="s">
        <v>38</v>
      </c>
    </row>
    <row r="130" customFormat="false" ht="43.25" hidden="false" customHeight="false" outlineLevel="0" collapsed="false">
      <c r="A130" s="2" t="s">
        <v>190</v>
      </c>
      <c r="B130" s="2" t="s">
        <v>199</v>
      </c>
      <c r="C130" s="2" t="s">
        <v>200</v>
      </c>
      <c r="D130" s="6" t="s">
        <v>39</v>
      </c>
      <c r="E130" s="2" t="s">
        <v>195</v>
      </c>
      <c r="F130" s="2" t="n">
        <v>24</v>
      </c>
      <c r="G130" s="2" t="n">
        <v>225</v>
      </c>
      <c r="H130" s="2" t="s">
        <v>63</v>
      </c>
      <c r="I130" s="2" t="s">
        <v>109</v>
      </c>
      <c r="J130" s="2" t="s">
        <v>109</v>
      </c>
      <c r="K130" s="2"/>
      <c r="L130" s="2" t="s">
        <v>202</v>
      </c>
      <c r="M130" s="2" t="s">
        <v>203</v>
      </c>
      <c r="N130" s="2" t="s">
        <v>36</v>
      </c>
      <c r="O130" s="2" t="s">
        <v>37</v>
      </c>
      <c r="P130" s="2" t="n">
        <v>8</v>
      </c>
      <c r="Q130" s="4" t="n">
        <v>2.6</v>
      </c>
      <c r="R130" s="2" t="n">
        <v>6400</v>
      </c>
      <c r="S130" s="2" t="n">
        <v>8000</v>
      </c>
      <c r="T130" s="4" t="n">
        <f aca="false">P130*R130*Assumptions!$B$10/1000</f>
        <v>409.6</v>
      </c>
      <c r="U130" s="4" t="n">
        <f aca="false">IF(ISNUMBER(S130),P130*S130*Assumptions!$B$10/1000,"N/A")</f>
        <v>512</v>
      </c>
      <c r="V130" s="5" t="n">
        <f aca="false">F130*Q130*IF(N130="E-core (Sierra Forest)",Assumptions!$B$8,Assumptions!$B$4)/1000</f>
        <v>1.9968</v>
      </c>
      <c r="W130" s="5" t="n">
        <f aca="false">F130*Q130*IF(N130="E-core (Sierra Forest)",Assumptions!$B$9,Assumptions!$B$5)/1000</f>
        <v>3.9936</v>
      </c>
      <c r="X130" s="4" t="n">
        <f aca="false">IF(N130="E-core (Sierra Forest)","N/A (no AMX)",F130*Q130*Assumptions!$B$6/1000)</f>
        <v>63.8976</v>
      </c>
      <c r="Y130" s="4" t="n">
        <f aca="false">IF(N130="E-core (Sierra Forest)","N/A (no AMX)",F130*Q130*Assumptions!$B$7/1000)</f>
        <v>127.7952</v>
      </c>
      <c r="Z130" s="2" t="s">
        <v>38</v>
      </c>
    </row>
    <row r="131" customFormat="false" ht="43.25" hidden="false" customHeight="false" outlineLevel="0" collapsed="false">
      <c r="A131" s="2" t="s">
        <v>190</v>
      </c>
      <c r="B131" s="2" t="s">
        <v>199</v>
      </c>
      <c r="C131" s="2" t="s">
        <v>200</v>
      </c>
      <c r="D131" s="7" t="s">
        <v>43</v>
      </c>
      <c r="E131" s="2" t="s">
        <v>193</v>
      </c>
      <c r="F131" s="2" t="n">
        <v>32</v>
      </c>
      <c r="G131" s="2" t="n">
        <v>245</v>
      </c>
      <c r="H131" s="2" t="s">
        <v>173</v>
      </c>
      <c r="I131" s="2" t="s">
        <v>47</v>
      </c>
      <c r="J131" s="2" t="s">
        <v>109</v>
      </c>
      <c r="K131" s="2"/>
      <c r="L131" s="2" t="s">
        <v>202</v>
      </c>
      <c r="M131" s="2" t="s">
        <v>203</v>
      </c>
      <c r="N131" s="2" t="s">
        <v>36</v>
      </c>
      <c r="O131" s="2" t="s">
        <v>37</v>
      </c>
      <c r="P131" s="2" t="n">
        <v>8</v>
      </c>
      <c r="Q131" s="4" t="n">
        <v>2.5</v>
      </c>
      <c r="R131" s="2" t="n">
        <v>6400</v>
      </c>
      <c r="S131" s="2" t="n">
        <v>8000</v>
      </c>
      <c r="T131" s="4" t="n">
        <f aca="false">P131*R131*Assumptions!$B$10/1000</f>
        <v>409.6</v>
      </c>
      <c r="U131" s="4" t="n">
        <f aca="false">IF(ISNUMBER(S131),P131*S131*Assumptions!$B$10/1000,"N/A")</f>
        <v>512</v>
      </c>
      <c r="V131" s="5" t="n">
        <f aca="false">F131*Q131*IF(N131="E-core (Sierra Forest)",Assumptions!$B$8,Assumptions!$B$4)/1000</f>
        <v>2.56</v>
      </c>
      <c r="W131" s="5" t="n">
        <f aca="false">F131*Q131*IF(N131="E-core (Sierra Forest)",Assumptions!$B$9,Assumptions!$B$5)/1000</f>
        <v>5.12</v>
      </c>
      <c r="X131" s="4" t="n">
        <f aca="false">IF(N131="E-core (Sierra Forest)","N/A (no AMX)",F131*Q131*Assumptions!$B$6/1000)</f>
        <v>81.92</v>
      </c>
      <c r="Y131" s="4" t="n">
        <f aca="false">IF(N131="E-core (Sierra Forest)","N/A (no AMX)",F131*Q131*Assumptions!$B$7/1000)</f>
        <v>163.84</v>
      </c>
      <c r="Z131" s="2" t="s">
        <v>38</v>
      </c>
    </row>
    <row r="132" customFormat="false" ht="43.25" hidden="false" customHeight="false" outlineLevel="0" collapsed="false">
      <c r="A132" s="2" t="s">
        <v>190</v>
      </c>
      <c r="B132" s="2" t="s">
        <v>180</v>
      </c>
      <c r="C132" s="2" t="s">
        <v>204</v>
      </c>
      <c r="D132" s="3" t="s">
        <v>29</v>
      </c>
      <c r="E132" s="2" t="s">
        <v>195</v>
      </c>
      <c r="F132" s="2" t="n">
        <v>24</v>
      </c>
      <c r="G132" s="2" t="n">
        <v>225</v>
      </c>
      <c r="H132" s="2" t="s">
        <v>63</v>
      </c>
      <c r="I132" s="2" t="s">
        <v>109</v>
      </c>
      <c r="J132" s="2" t="s">
        <v>109</v>
      </c>
      <c r="K132" s="2"/>
      <c r="L132" s="2" t="s">
        <v>205</v>
      </c>
      <c r="M132" s="2" t="s">
        <v>183</v>
      </c>
      <c r="N132" s="2" t="s">
        <v>36</v>
      </c>
      <c r="O132" s="2" t="s">
        <v>37</v>
      </c>
      <c r="P132" s="2" t="n">
        <v>8</v>
      </c>
      <c r="Q132" s="4" t="n">
        <v>2.6</v>
      </c>
      <c r="R132" s="2" t="n">
        <v>6400</v>
      </c>
      <c r="S132" s="2" t="n">
        <v>8000</v>
      </c>
      <c r="T132" s="4" t="n">
        <f aca="false">P132*R132*Assumptions!$B$10/1000</f>
        <v>409.6</v>
      </c>
      <c r="U132" s="4" t="n">
        <f aca="false">IF(ISNUMBER(S132),P132*S132*Assumptions!$B$10/1000,"N/A")</f>
        <v>512</v>
      </c>
      <c r="V132" s="5" t="n">
        <f aca="false">F132*Q132*IF(N132="E-core (Sierra Forest)",Assumptions!$B$8,Assumptions!$B$4)/1000</f>
        <v>1.9968</v>
      </c>
      <c r="W132" s="5" t="n">
        <f aca="false">F132*Q132*IF(N132="E-core (Sierra Forest)",Assumptions!$B$9,Assumptions!$B$5)/1000</f>
        <v>3.9936</v>
      </c>
      <c r="X132" s="4" t="n">
        <f aca="false">IF(N132="E-core (Sierra Forest)","N/A (no AMX)",F132*Q132*Assumptions!$B$6/1000)</f>
        <v>63.8976</v>
      </c>
      <c r="Y132" s="4" t="n">
        <f aca="false">IF(N132="E-core (Sierra Forest)","N/A (no AMX)",F132*Q132*Assumptions!$B$7/1000)</f>
        <v>127.7952</v>
      </c>
      <c r="Z132" s="2" t="s">
        <v>38</v>
      </c>
    </row>
    <row r="133" customFormat="false" ht="43.25" hidden="false" customHeight="false" outlineLevel="0" collapsed="false">
      <c r="A133" s="2" t="s">
        <v>190</v>
      </c>
      <c r="B133" s="2" t="s">
        <v>180</v>
      </c>
      <c r="C133" s="2" t="s">
        <v>204</v>
      </c>
      <c r="D133" s="3" t="s">
        <v>29</v>
      </c>
      <c r="E133" s="2" t="s">
        <v>201</v>
      </c>
      <c r="F133" s="2" t="n">
        <v>16</v>
      </c>
      <c r="G133" s="2" t="n">
        <v>150</v>
      </c>
      <c r="H133" s="2" t="s">
        <v>145</v>
      </c>
      <c r="I133" s="2" t="s">
        <v>109</v>
      </c>
      <c r="J133" s="2" t="s">
        <v>32</v>
      </c>
      <c r="K133" s="2"/>
      <c r="L133" s="2" t="s">
        <v>205</v>
      </c>
      <c r="M133" s="2" t="s">
        <v>183</v>
      </c>
      <c r="N133" s="2" t="s">
        <v>36</v>
      </c>
      <c r="O133" s="2" t="s">
        <v>37</v>
      </c>
      <c r="P133" s="2" t="n">
        <v>8</v>
      </c>
      <c r="Q133" s="4" t="n">
        <v>2.3</v>
      </c>
      <c r="R133" s="2" t="n">
        <v>6400</v>
      </c>
      <c r="S133" s="2" t="n">
        <v>8000</v>
      </c>
      <c r="T133" s="4" t="n">
        <f aca="false">P133*R133*Assumptions!$B$10/1000</f>
        <v>409.6</v>
      </c>
      <c r="U133" s="4" t="n">
        <f aca="false">IF(ISNUMBER(S133),P133*S133*Assumptions!$B$10/1000,"N/A")</f>
        <v>512</v>
      </c>
      <c r="V133" s="5" t="n">
        <f aca="false">F133*Q133*IF(N133="E-core (Sierra Forest)",Assumptions!$B$8,Assumptions!$B$4)/1000</f>
        <v>1.1776</v>
      </c>
      <c r="W133" s="5" t="n">
        <f aca="false">F133*Q133*IF(N133="E-core (Sierra Forest)",Assumptions!$B$9,Assumptions!$B$5)/1000</f>
        <v>2.3552</v>
      </c>
      <c r="X133" s="4" t="n">
        <f aca="false">IF(N133="E-core (Sierra Forest)","N/A (no AMX)",F133*Q133*Assumptions!$B$6/1000)</f>
        <v>37.6832</v>
      </c>
      <c r="Y133" s="4" t="n">
        <f aca="false">IF(N133="E-core (Sierra Forest)","N/A (no AMX)",F133*Q133*Assumptions!$B$7/1000)</f>
        <v>75.3664</v>
      </c>
      <c r="Z133" s="2" t="s">
        <v>38</v>
      </c>
    </row>
    <row r="134" customFormat="false" ht="43.25" hidden="false" customHeight="false" outlineLevel="0" collapsed="false">
      <c r="A134" s="2" t="s">
        <v>190</v>
      </c>
      <c r="B134" s="2" t="s">
        <v>180</v>
      </c>
      <c r="C134" s="2" t="s">
        <v>204</v>
      </c>
      <c r="D134" s="6" t="s">
        <v>39</v>
      </c>
      <c r="E134" s="2" t="s">
        <v>197</v>
      </c>
      <c r="F134" s="2" t="n">
        <v>48</v>
      </c>
      <c r="G134" s="2" t="n">
        <v>300</v>
      </c>
      <c r="H134" s="2" t="s">
        <v>173</v>
      </c>
      <c r="I134" s="2" t="s">
        <v>157</v>
      </c>
      <c r="J134" s="2" t="s">
        <v>46</v>
      </c>
      <c r="K134" s="2"/>
      <c r="L134" s="2" t="s">
        <v>205</v>
      </c>
      <c r="M134" s="2" t="s">
        <v>183</v>
      </c>
      <c r="N134" s="2" t="s">
        <v>36</v>
      </c>
      <c r="O134" s="2" t="s">
        <v>37</v>
      </c>
      <c r="P134" s="2" t="n">
        <v>8</v>
      </c>
      <c r="Q134" s="4" t="n">
        <v>2.5</v>
      </c>
      <c r="R134" s="2" t="n">
        <v>6400</v>
      </c>
      <c r="S134" s="2" t="n">
        <v>8000</v>
      </c>
      <c r="T134" s="4" t="n">
        <f aca="false">P134*R134*Assumptions!$B$10/1000</f>
        <v>409.6</v>
      </c>
      <c r="U134" s="4" t="n">
        <f aca="false">IF(ISNUMBER(S134),P134*S134*Assumptions!$B$10/1000,"N/A")</f>
        <v>512</v>
      </c>
      <c r="V134" s="5" t="n">
        <f aca="false">F134*Q134*IF(N134="E-core (Sierra Forest)",Assumptions!$B$8,Assumptions!$B$4)/1000</f>
        <v>3.84</v>
      </c>
      <c r="W134" s="5" t="n">
        <f aca="false">F134*Q134*IF(N134="E-core (Sierra Forest)",Assumptions!$B$9,Assumptions!$B$5)/1000</f>
        <v>7.68</v>
      </c>
      <c r="X134" s="4" t="n">
        <f aca="false">IF(N134="E-core (Sierra Forest)","N/A (no AMX)",F134*Q134*Assumptions!$B$6/1000)</f>
        <v>122.88</v>
      </c>
      <c r="Y134" s="4" t="n">
        <f aca="false">IF(N134="E-core (Sierra Forest)","N/A (no AMX)",F134*Q134*Assumptions!$B$7/1000)</f>
        <v>245.76</v>
      </c>
      <c r="Z134" s="2" t="s">
        <v>38</v>
      </c>
    </row>
    <row r="135" customFormat="false" ht="43.25" hidden="false" customHeight="false" outlineLevel="0" collapsed="false">
      <c r="A135" s="2" t="s">
        <v>190</v>
      </c>
      <c r="B135" s="2" t="s">
        <v>180</v>
      </c>
      <c r="C135" s="2" t="s">
        <v>204</v>
      </c>
      <c r="D135" s="6" t="s">
        <v>39</v>
      </c>
      <c r="E135" s="2" t="s">
        <v>193</v>
      </c>
      <c r="F135" s="2" t="n">
        <v>32</v>
      </c>
      <c r="G135" s="2" t="n">
        <v>245</v>
      </c>
      <c r="H135" s="2" t="s">
        <v>173</v>
      </c>
      <c r="I135" s="2" t="s">
        <v>47</v>
      </c>
      <c r="J135" s="2" t="s">
        <v>109</v>
      </c>
      <c r="K135" s="2"/>
      <c r="L135" s="2" t="s">
        <v>205</v>
      </c>
      <c r="M135" s="2" t="s">
        <v>183</v>
      </c>
      <c r="N135" s="2" t="s">
        <v>36</v>
      </c>
      <c r="O135" s="2" t="s">
        <v>37</v>
      </c>
      <c r="P135" s="2" t="n">
        <v>8</v>
      </c>
      <c r="Q135" s="4" t="n">
        <v>2.5</v>
      </c>
      <c r="R135" s="2" t="n">
        <v>6400</v>
      </c>
      <c r="S135" s="2" t="n">
        <v>8000</v>
      </c>
      <c r="T135" s="4" t="n">
        <f aca="false">P135*R135*Assumptions!$B$10/1000</f>
        <v>409.6</v>
      </c>
      <c r="U135" s="4" t="n">
        <f aca="false">IF(ISNUMBER(S135),P135*S135*Assumptions!$B$10/1000,"N/A")</f>
        <v>512</v>
      </c>
      <c r="V135" s="5" t="n">
        <f aca="false">F135*Q135*IF(N135="E-core (Sierra Forest)",Assumptions!$B$8,Assumptions!$B$4)/1000</f>
        <v>2.56</v>
      </c>
      <c r="W135" s="5" t="n">
        <f aca="false">F135*Q135*IF(N135="E-core (Sierra Forest)",Assumptions!$B$9,Assumptions!$B$5)/1000</f>
        <v>5.12</v>
      </c>
      <c r="X135" s="4" t="n">
        <f aca="false">IF(N135="E-core (Sierra Forest)","N/A (no AMX)",F135*Q135*Assumptions!$B$6/1000)</f>
        <v>81.92</v>
      </c>
      <c r="Y135" s="4" t="n">
        <f aca="false">IF(N135="E-core (Sierra Forest)","N/A (no AMX)",F135*Q135*Assumptions!$B$7/1000)</f>
        <v>163.84</v>
      </c>
      <c r="Z135" s="2" t="s">
        <v>38</v>
      </c>
    </row>
    <row r="136" customFormat="false" ht="43.25" hidden="false" customHeight="false" outlineLevel="0" collapsed="false">
      <c r="A136" s="2" t="s">
        <v>190</v>
      </c>
      <c r="B136" s="2" t="s">
        <v>180</v>
      </c>
      <c r="C136" s="2" t="s">
        <v>204</v>
      </c>
      <c r="D136" s="7" t="s">
        <v>43</v>
      </c>
      <c r="E136" s="2" t="s">
        <v>196</v>
      </c>
      <c r="F136" s="2" t="n">
        <v>64</v>
      </c>
      <c r="G136" s="2" t="n">
        <v>350</v>
      </c>
      <c r="H136" s="2" t="s">
        <v>173</v>
      </c>
      <c r="I136" s="2" t="s">
        <v>31</v>
      </c>
      <c r="J136" s="2" t="s">
        <v>47</v>
      </c>
      <c r="K136" s="2"/>
      <c r="L136" s="2" t="s">
        <v>205</v>
      </c>
      <c r="M136" s="2" t="s">
        <v>183</v>
      </c>
      <c r="N136" s="2" t="s">
        <v>36</v>
      </c>
      <c r="O136" s="2" t="s">
        <v>37</v>
      </c>
      <c r="P136" s="2" t="n">
        <v>8</v>
      </c>
      <c r="Q136" s="4" t="n">
        <v>2.5</v>
      </c>
      <c r="R136" s="2" t="n">
        <v>6400</v>
      </c>
      <c r="S136" s="2" t="n">
        <v>8000</v>
      </c>
      <c r="T136" s="4" t="n">
        <f aca="false">P136*R136*Assumptions!$B$10/1000</f>
        <v>409.6</v>
      </c>
      <c r="U136" s="4" t="n">
        <f aca="false">IF(ISNUMBER(S136),P136*S136*Assumptions!$B$10/1000,"N/A")</f>
        <v>512</v>
      </c>
      <c r="V136" s="5" t="n">
        <f aca="false">F136*Q136*IF(N136="E-core (Sierra Forest)",Assumptions!$B$8,Assumptions!$B$4)/1000</f>
        <v>5.12</v>
      </c>
      <c r="W136" s="5" t="n">
        <f aca="false">F136*Q136*IF(N136="E-core (Sierra Forest)",Assumptions!$B$9,Assumptions!$B$5)/1000</f>
        <v>10.24</v>
      </c>
      <c r="X136" s="4" t="n">
        <f aca="false">IF(N136="E-core (Sierra Forest)","N/A (no AMX)",F136*Q136*Assumptions!$B$6/1000)</f>
        <v>163.84</v>
      </c>
      <c r="Y136" s="4" t="n">
        <f aca="false">IF(N136="E-core (Sierra Forest)","N/A (no AMX)",F136*Q136*Assumptions!$B$7/1000)</f>
        <v>327.68</v>
      </c>
      <c r="Z136" s="2" t="s">
        <v>38</v>
      </c>
    </row>
    <row r="137" customFormat="false" ht="43.25" hidden="false" customHeight="false" outlineLevel="0" collapsed="false">
      <c r="A137" s="2" t="s">
        <v>190</v>
      </c>
      <c r="B137" s="2" t="s">
        <v>206</v>
      </c>
      <c r="C137" s="2" t="s">
        <v>207</v>
      </c>
      <c r="D137" s="3" t="s">
        <v>29</v>
      </c>
      <c r="E137" s="2" t="s">
        <v>201</v>
      </c>
      <c r="F137" s="2" t="n">
        <v>16</v>
      </c>
      <c r="G137" s="2" t="n">
        <v>150</v>
      </c>
      <c r="H137" s="2" t="s">
        <v>145</v>
      </c>
      <c r="I137" s="2" t="s">
        <v>109</v>
      </c>
      <c r="J137" s="2" t="s">
        <v>32</v>
      </c>
      <c r="K137" s="2"/>
      <c r="L137" s="2" t="s">
        <v>208</v>
      </c>
      <c r="M137" s="2" t="s">
        <v>209</v>
      </c>
      <c r="N137" s="2" t="s">
        <v>36</v>
      </c>
      <c r="O137" s="2" t="s">
        <v>37</v>
      </c>
      <c r="P137" s="2" t="n">
        <v>8</v>
      </c>
      <c r="Q137" s="4" t="n">
        <v>2.3</v>
      </c>
      <c r="R137" s="2" t="n">
        <v>6400</v>
      </c>
      <c r="S137" s="2" t="n">
        <v>8000</v>
      </c>
      <c r="T137" s="4" t="n">
        <f aca="false">P137*R137*Assumptions!$B$10/1000</f>
        <v>409.6</v>
      </c>
      <c r="U137" s="4" t="n">
        <f aca="false">IF(ISNUMBER(S137),P137*S137*Assumptions!$B$10/1000,"N/A")</f>
        <v>512</v>
      </c>
      <c r="V137" s="5" t="n">
        <f aca="false">F137*Q137*IF(N137="E-core (Sierra Forest)",Assumptions!$B$8,Assumptions!$B$4)/1000</f>
        <v>1.1776</v>
      </c>
      <c r="W137" s="5" t="n">
        <f aca="false">F137*Q137*IF(N137="E-core (Sierra Forest)",Assumptions!$B$9,Assumptions!$B$5)/1000</f>
        <v>2.3552</v>
      </c>
      <c r="X137" s="4" t="n">
        <f aca="false">IF(N137="E-core (Sierra Forest)","N/A (no AMX)",F137*Q137*Assumptions!$B$6/1000)</f>
        <v>37.6832</v>
      </c>
      <c r="Y137" s="4" t="n">
        <f aca="false">IF(N137="E-core (Sierra Forest)","N/A (no AMX)",F137*Q137*Assumptions!$B$7/1000)</f>
        <v>75.3664</v>
      </c>
      <c r="Z137" s="2" t="s">
        <v>38</v>
      </c>
    </row>
    <row r="138" customFormat="false" ht="43.25" hidden="false" customHeight="false" outlineLevel="0" collapsed="false">
      <c r="A138" s="2" t="s">
        <v>190</v>
      </c>
      <c r="B138" s="2" t="s">
        <v>206</v>
      </c>
      <c r="C138" s="2" t="s">
        <v>207</v>
      </c>
      <c r="D138" s="6" t="s">
        <v>39</v>
      </c>
      <c r="E138" s="2" t="s">
        <v>193</v>
      </c>
      <c r="F138" s="2" t="n">
        <v>32</v>
      </c>
      <c r="G138" s="2" t="n">
        <v>245</v>
      </c>
      <c r="H138" s="2" t="s">
        <v>173</v>
      </c>
      <c r="I138" s="2" t="s">
        <v>47</v>
      </c>
      <c r="J138" s="2" t="s">
        <v>109</v>
      </c>
      <c r="K138" s="2"/>
      <c r="L138" s="2" t="s">
        <v>208</v>
      </c>
      <c r="M138" s="2" t="s">
        <v>209</v>
      </c>
      <c r="N138" s="2" t="s">
        <v>36</v>
      </c>
      <c r="O138" s="2" t="s">
        <v>37</v>
      </c>
      <c r="P138" s="2" t="n">
        <v>8</v>
      </c>
      <c r="Q138" s="4" t="n">
        <v>2.5</v>
      </c>
      <c r="R138" s="2" t="n">
        <v>6400</v>
      </c>
      <c r="S138" s="2" t="n">
        <v>8000</v>
      </c>
      <c r="T138" s="4" t="n">
        <f aca="false">P138*R138*Assumptions!$B$10/1000</f>
        <v>409.6</v>
      </c>
      <c r="U138" s="4" t="n">
        <f aca="false">IF(ISNUMBER(S138),P138*S138*Assumptions!$B$10/1000,"N/A")</f>
        <v>512</v>
      </c>
      <c r="V138" s="5" t="n">
        <f aca="false">F138*Q138*IF(N138="E-core (Sierra Forest)",Assumptions!$B$8,Assumptions!$B$4)/1000</f>
        <v>2.56</v>
      </c>
      <c r="W138" s="5" t="n">
        <f aca="false">F138*Q138*IF(N138="E-core (Sierra Forest)",Assumptions!$B$9,Assumptions!$B$5)/1000</f>
        <v>5.12</v>
      </c>
      <c r="X138" s="4" t="n">
        <f aca="false">IF(N138="E-core (Sierra Forest)","N/A (no AMX)",F138*Q138*Assumptions!$B$6/1000)</f>
        <v>81.92</v>
      </c>
      <c r="Y138" s="4" t="n">
        <f aca="false">IF(N138="E-core (Sierra Forest)","N/A (no AMX)",F138*Q138*Assumptions!$B$7/1000)</f>
        <v>163.84</v>
      </c>
      <c r="Z138" s="2" t="s">
        <v>38</v>
      </c>
    </row>
    <row r="139" customFormat="false" ht="43.25" hidden="false" customHeight="false" outlineLevel="0" collapsed="false">
      <c r="A139" s="2" t="s">
        <v>190</v>
      </c>
      <c r="B139" s="2" t="s">
        <v>206</v>
      </c>
      <c r="C139" s="2" t="s">
        <v>207</v>
      </c>
      <c r="D139" s="7" t="s">
        <v>43</v>
      </c>
      <c r="E139" s="2" t="s">
        <v>210</v>
      </c>
      <c r="F139" s="2" t="n">
        <v>64</v>
      </c>
      <c r="G139" s="2" t="n">
        <v>350</v>
      </c>
      <c r="H139" s="2" t="s">
        <v>173</v>
      </c>
      <c r="I139" s="2" t="s">
        <v>31</v>
      </c>
      <c r="J139" s="2" t="s">
        <v>47</v>
      </c>
      <c r="K139" s="2"/>
      <c r="L139" s="2" t="s">
        <v>208</v>
      </c>
      <c r="M139" s="2" t="s">
        <v>209</v>
      </c>
      <c r="N139" s="2" t="s">
        <v>36</v>
      </c>
      <c r="O139" s="2" t="s">
        <v>37</v>
      </c>
      <c r="P139" s="2" t="n">
        <v>8</v>
      </c>
      <c r="Q139" s="4" t="n">
        <v>2.5</v>
      </c>
      <c r="R139" s="2" t="n">
        <v>6400</v>
      </c>
      <c r="S139" s="2" t="n">
        <v>8000</v>
      </c>
      <c r="T139" s="4" t="n">
        <f aca="false">P139*R139*Assumptions!$B$10/1000</f>
        <v>409.6</v>
      </c>
      <c r="U139" s="4" t="n">
        <f aca="false">IF(ISNUMBER(S139),P139*S139*Assumptions!$B$10/1000,"N/A")</f>
        <v>512</v>
      </c>
      <c r="V139" s="5" t="n">
        <f aca="false">F139*Q139*IF(N139="E-core (Sierra Forest)",Assumptions!$B$8,Assumptions!$B$4)/1000</f>
        <v>5.12</v>
      </c>
      <c r="W139" s="5" t="n">
        <f aca="false">F139*Q139*IF(N139="E-core (Sierra Forest)",Assumptions!$B$9,Assumptions!$B$5)/1000</f>
        <v>10.24</v>
      </c>
      <c r="X139" s="4" t="n">
        <f aca="false">IF(N139="E-core (Sierra Forest)","N/A (no AMX)",F139*Q139*Assumptions!$B$6/1000)</f>
        <v>163.84</v>
      </c>
      <c r="Y139" s="4" t="n">
        <f aca="false">IF(N139="E-core (Sierra Forest)","N/A (no AMX)",F139*Q139*Assumptions!$B$7/1000)</f>
        <v>327.68</v>
      </c>
      <c r="Z139" s="2" t="s">
        <v>38</v>
      </c>
    </row>
    <row r="140" customFormat="false" ht="53.7" hidden="false" customHeight="false" outlineLevel="0" collapsed="false">
      <c r="A140" s="2" t="s">
        <v>211</v>
      </c>
      <c r="B140" s="2" t="s">
        <v>212</v>
      </c>
      <c r="C140" s="2"/>
      <c r="D140" s="3" t="s">
        <v>29</v>
      </c>
      <c r="E140" s="2" t="s">
        <v>40</v>
      </c>
      <c r="F140" s="2" t="n">
        <v>32</v>
      </c>
      <c r="G140" s="2" t="n">
        <v>300</v>
      </c>
      <c r="H140" s="2" t="s">
        <v>41</v>
      </c>
      <c r="I140" s="2" t="s">
        <v>162</v>
      </c>
      <c r="J140" s="2" t="s">
        <v>162</v>
      </c>
      <c r="K140" s="2"/>
      <c r="L140" s="2" t="s">
        <v>213</v>
      </c>
      <c r="M140" s="2" t="s">
        <v>214</v>
      </c>
      <c r="N140" s="2" t="s">
        <v>36</v>
      </c>
      <c r="O140" s="2" t="s">
        <v>37</v>
      </c>
      <c r="P140" s="2" t="n">
        <v>8</v>
      </c>
      <c r="Q140" s="4" t="n">
        <v>2.9</v>
      </c>
      <c r="R140" s="2" t="n">
        <v>6400</v>
      </c>
      <c r="S140" s="2" t="n">
        <v>8000</v>
      </c>
      <c r="T140" s="4" t="n">
        <f aca="false">P140*R140*Assumptions!$B$10/1000</f>
        <v>409.6</v>
      </c>
      <c r="U140" s="4" t="n">
        <f aca="false">IF(ISNUMBER(S140),P140*S140*Assumptions!$B$10/1000,"N/A")</f>
        <v>512</v>
      </c>
      <c r="V140" s="5" t="n">
        <f aca="false">F140*Q140*IF(N140="E-core (Sierra Forest)",Assumptions!$B$8,Assumptions!$B$4)/1000</f>
        <v>2.9696</v>
      </c>
      <c r="W140" s="5" t="n">
        <f aca="false">F140*Q140*IF(N140="E-core (Sierra Forest)",Assumptions!$B$9,Assumptions!$B$5)/1000</f>
        <v>5.9392</v>
      </c>
      <c r="X140" s="4" t="n">
        <f aca="false">IF(N140="E-core (Sierra Forest)","N/A (no AMX)",F140*Q140*Assumptions!$B$6/1000)</f>
        <v>95.0272</v>
      </c>
      <c r="Y140" s="4" t="n">
        <f aca="false">IF(N140="E-core (Sierra Forest)","N/A (no AMX)",F140*Q140*Assumptions!$B$7/1000)</f>
        <v>190.0544</v>
      </c>
      <c r="Z140" s="2" t="s">
        <v>38</v>
      </c>
    </row>
    <row r="141" customFormat="false" ht="53.7" hidden="false" customHeight="false" outlineLevel="0" collapsed="false">
      <c r="A141" s="2" t="s">
        <v>211</v>
      </c>
      <c r="B141" s="2" t="s">
        <v>212</v>
      </c>
      <c r="C141" s="2"/>
      <c r="D141" s="3" t="s">
        <v>29</v>
      </c>
      <c r="E141" s="2" t="s">
        <v>134</v>
      </c>
      <c r="F141" s="2" t="n">
        <v>32</v>
      </c>
      <c r="G141" s="2" t="n">
        <v>350</v>
      </c>
      <c r="H141" s="2" t="s">
        <v>46</v>
      </c>
      <c r="I141" s="2" t="s">
        <v>32</v>
      </c>
      <c r="J141" s="2" t="s">
        <v>33</v>
      </c>
      <c r="K141" s="2"/>
      <c r="L141" s="2" t="s">
        <v>213</v>
      </c>
      <c r="M141" s="2" t="s">
        <v>214</v>
      </c>
      <c r="N141" s="2" t="s">
        <v>36</v>
      </c>
      <c r="O141" s="2" t="s">
        <v>37</v>
      </c>
      <c r="P141" s="2" t="n">
        <v>8</v>
      </c>
      <c r="Q141" s="4" t="n">
        <v>3.8</v>
      </c>
      <c r="R141" s="2" t="n">
        <v>6400</v>
      </c>
      <c r="S141" s="2" t="n">
        <v>8000</v>
      </c>
      <c r="T141" s="4" t="n">
        <f aca="false">P141*R141*Assumptions!$B$10/1000</f>
        <v>409.6</v>
      </c>
      <c r="U141" s="4" t="n">
        <f aca="false">IF(ISNUMBER(S141),P141*S141*Assumptions!$B$10/1000,"N/A")</f>
        <v>512</v>
      </c>
      <c r="V141" s="5" t="n">
        <f aca="false">F141*Q141*IF(N141="E-core (Sierra Forest)",Assumptions!$B$8,Assumptions!$B$4)/1000</f>
        <v>3.8912</v>
      </c>
      <c r="W141" s="5" t="n">
        <f aca="false">F141*Q141*IF(N141="E-core (Sierra Forest)",Assumptions!$B$9,Assumptions!$B$5)/1000</f>
        <v>7.7824</v>
      </c>
      <c r="X141" s="4" t="n">
        <f aca="false">IF(N141="E-core (Sierra Forest)","N/A (no AMX)",F141*Q141*Assumptions!$B$6/1000)</f>
        <v>124.5184</v>
      </c>
      <c r="Y141" s="4" t="n">
        <f aca="false">IF(N141="E-core (Sierra Forest)","N/A (no AMX)",F141*Q141*Assumptions!$B$7/1000)</f>
        <v>249.0368</v>
      </c>
      <c r="Z141" s="2" t="s">
        <v>38</v>
      </c>
    </row>
    <row r="142" customFormat="false" ht="53.7" hidden="false" customHeight="false" outlineLevel="0" collapsed="false">
      <c r="A142" s="2" t="s">
        <v>211</v>
      </c>
      <c r="B142" s="2" t="s">
        <v>212</v>
      </c>
      <c r="C142" s="2"/>
      <c r="D142" s="6" t="s">
        <v>39</v>
      </c>
      <c r="E142" s="2" t="s">
        <v>156</v>
      </c>
      <c r="F142" s="2" t="n">
        <v>16</v>
      </c>
      <c r="G142" s="2" t="n">
        <v>225</v>
      </c>
      <c r="H142" s="2" t="s">
        <v>215</v>
      </c>
      <c r="I142" s="2" t="s">
        <v>47</v>
      </c>
      <c r="J142" s="2" t="s">
        <v>158</v>
      </c>
      <c r="K142" s="2"/>
      <c r="L142" s="2" t="s">
        <v>213</v>
      </c>
      <c r="M142" s="2" t="s">
        <v>214</v>
      </c>
      <c r="N142" s="2" t="s">
        <v>36</v>
      </c>
      <c r="O142" s="2" t="s">
        <v>37</v>
      </c>
      <c r="P142" s="2" t="n">
        <v>8</v>
      </c>
      <c r="Q142" s="4" t="n">
        <v>3</v>
      </c>
      <c r="R142" s="2" t="n">
        <v>6400</v>
      </c>
      <c r="S142" s="2" t="n">
        <v>8000</v>
      </c>
      <c r="T142" s="4" t="n">
        <f aca="false">P142*R142*Assumptions!$B$10/1000</f>
        <v>409.6</v>
      </c>
      <c r="U142" s="4" t="n">
        <f aca="false">IF(ISNUMBER(S142),P142*S142*Assumptions!$B$10/1000,"N/A")</f>
        <v>512</v>
      </c>
      <c r="V142" s="5" t="n">
        <f aca="false">F142*Q142*IF(N142="E-core (Sierra Forest)",Assumptions!$B$8,Assumptions!$B$4)/1000</f>
        <v>1.536</v>
      </c>
      <c r="W142" s="5" t="n">
        <f aca="false">F142*Q142*IF(N142="E-core (Sierra Forest)",Assumptions!$B$9,Assumptions!$B$5)/1000</f>
        <v>3.072</v>
      </c>
      <c r="X142" s="4" t="n">
        <f aca="false">IF(N142="E-core (Sierra Forest)","N/A (no AMX)",F142*Q142*Assumptions!$B$6/1000)</f>
        <v>49.152</v>
      </c>
      <c r="Y142" s="4" t="n">
        <f aca="false">IF(N142="E-core (Sierra Forest)","N/A (no AMX)",F142*Q142*Assumptions!$B$7/1000)</f>
        <v>98.304</v>
      </c>
      <c r="Z142" s="2" t="s">
        <v>38</v>
      </c>
    </row>
    <row r="143" customFormat="false" ht="53.7" hidden="false" customHeight="false" outlineLevel="0" collapsed="false">
      <c r="A143" s="2" t="s">
        <v>211</v>
      </c>
      <c r="B143" s="2" t="s">
        <v>212</v>
      </c>
      <c r="C143" s="2"/>
      <c r="D143" s="7" t="s">
        <v>43</v>
      </c>
      <c r="E143" s="2" t="s">
        <v>216</v>
      </c>
      <c r="F143" s="2" t="n">
        <v>32</v>
      </c>
      <c r="G143" s="2" t="n">
        <v>350</v>
      </c>
      <c r="H143" s="2" t="s">
        <v>58</v>
      </c>
      <c r="I143" s="2" t="s">
        <v>109</v>
      </c>
      <c r="J143" s="2" t="s">
        <v>109</v>
      </c>
      <c r="K143" s="2"/>
      <c r="L143" s="2" t="s">
        <v>213</v>
      </c>
      <c r="M143" s="2" t="s">
        <v>214</v>
      </c>
      <c r="N143" s="2" t="s">
        <v>217</v>
      </c>
      <c r="O143" s="2" t="s">
        <v>218</v>
      </c>
      <c r="P143" s="2" t="n">
        <v>8</v>
      </c>
      <c r="Q143" s="4" t="n">
        <v>3.2</v>
      </c>
      <c r="R143" s="2" t="n">
        <v>5600</v>
      </c>
      <c r="S143" s="2" t="s">
        <v>119</v>
      </c>
      <c r="T143" s="4" t="n">
        <f aca="false">P143*R143*Assumptions!$B$10/1000</f>
        <v>358.4</v>
      </c>
      <c r="U143" s="4" t="str">
        <f aca="false">IF(ISNUMBER(S143),P143*S143*Assumptions!$B$10/1000,"N/A")</f>
        <v>N/A</v>
      </c>
      <c r="V143" s="5" t="n">
        <f aca="false">F143*Q143*IF(N143="E-core (Sierra Forest)",Assumptions!$B$8,Assumptions!$B$4)/1000</f>
        <v>3.2768</v>
      </c>
      <c r="W143" s="5" t="n">
        <f aca="false">F143*Q143*IF(N143="E-core (Sierra Forest)",Assumptions!$B$9,Assumptions!$B$5)/1000</f>
        <v>6.5536</v>
      </c>
      <c r="X143" s="4" t="n">
        <f aca="false">IF(N143="E-core (Sierra Forest)","N/A (no AMX)",F143*Q143*Assumptions!$B$6/1000)</f>
        <v>104.8576</v>
      </c>
      <c r="Y143" s="4" t="n">
        <f aca="false">IF(N143="E-core (Sierra Forest)","N/A (no AMX)",F143*Q143*Assumptions!$B$7/1000)</f>
        <v>209.7152</v>
      </c>
      <c r="Z143" s="2" t="s">
        <v>38</v>
      </c>
    </row>
    <row r="144" customFormat="false" ht="53.7" hidden="false" customHeight="false" outlineLevel="0" collapsed="false">
      <c r="A144" s="2" t="s">
        <v>211</v>
      </c>
      <c r="B144" s="2" t="s">
        <v>212</v>
      </c>
      <c r="C144" s="2"/>
      <c r="D144" s="7" t="s">
        <v>43</v>
      </c>
      <c r="E144" s="2" t="s">
        <v>219</v>
      </c>
      <c r="F144" s="2" t="n">
        <v>32</v>
      </c>
      <c r="G144" s="2" t="n">
        <v>300</v>
      </c>
      <c r="H144" s="2" t="s">
        <v>220</v>
      </c>
      <c r="I144" s="2" t="s">
        <v>47</v>
      </c>
      <c r="J144" s="2" t="s">
        <v>32</v>
      </c>
      <c r="K144" s="2"/>
      <c r="L144" s="2" t="s">
        <v>213</v>
      </c>
      <c r="M144" s="2" t="s">
        <v>214</v>
      </c>
      <c r="N144" s="2" t="s">
        <v>217</v>
      </c>
      <c r="O144" s="2" t="s">
        <v>218</v>
      </c>
      <c r="P144" s="2" t="n">
        <v>8</v>
      </c>
      <c r="Q144" s="4" t="n">
        <v>2.8</v>
      </c>
      <c r="R144" s="2" t="n">
        <v>5600</v>
      </c>
      <c r="S144" s="2" t="s">
        <v>119</v>
      </c>
      <c r="T144" s="4" t="n">
        <f aca="false">P144*R144*Assumptions!$B$10/1000</f>
        <v>358.4</v>
      </c>
      <c r="U144" s="4" t="str">
        <f aca="false">IF(ISNUMBER(S144),P144*S144*Assumptions!$B$10/1000,"N/A")</f>
        <v>N/A</v>
      </c>
      <c r="V144" s="5" t="n">
        <f aca="false">F144*Q144*IF(N144="E-core (Sierra Forest)",Assumptions!$B$8,Assumptions!$B$4)/1000</f>
        <v>2.8672</v>
      </c>
      <c r="W144" s="5" t="n">
        <f aca="false">F144*Q144*IF(N144="E-core (Sierra Forest)",Assumptions!$B$9,Assumptions!$B$5)/1000</f>
        <v>5.7344</v>
      </c>
      <c r="X144" s="4" t="n">
        <f aca="false">IF(N144="E-core (Sierra Forest)","N/A (no AMX)",F144*Q144*Assumptions!$B$6/1000)</f>
        <v>91.7504</v>
      </c>
      <c r="Y144" s="4" t="n">
        <f aca="false">IF(N144="E-core (Sierra Forest)","N/A (no AMX)",F144*Q144*Assumptions!$B$7/1000)</f>
        <v>183.5008</v>
      </c>
      <c r="Z144" s="2" t="s">
        <v>38</v>
      </c>
    </row>
    <row r="145" customFormat="false" ht="53.7" hidden="false" customHeight="false" outlineLevel="0" collapsed="false">
      <c r="A145" s="2" t="s">
        <v>211</v>
      </c>
      <c r="B145" s="2" t="s">
        <v>221</v>
      </c>
      <c r="C145" s="2" t="s">
        <v>222</v>
      </c>
      <c r="D145" s="3" t="s">
        <v>29</v>
      </c>
      <c r="E145" s="2" t="s">
        <v>120</v>
      </c>
      <c r="F145" s="2" t="n">
        <v>96</v>
      </c>
      <c r="G145" s="2" t="n">
        <v>400</v>
      </c>
      <c r="H145" s="2" t="s">
        <v>173</v>
      </c>
      <c r="I145" s="2" t="s">
        <v>58</v>
      </c>
      <c r="J145" s="2" t="s">
        <v>47</v>
      </c>
      <c r="K145" s="2"/>
      <c r="L145" s="2" t="s">
        <v>223</v>
      </c>
      <c r="M145" s="2" t="s">
        <v>224</v>
      </c>
      <c r="N145" s="2" t="s">
        <v>36</v>
      </c>
      <c r="O145" s="2" t="s">
        <v>48</v>
      </c>
      <c r="P145" s="2" t="n">
        <v>12</v>
      </c>
      <c r="Q145" s="4" t="n">
        <v>2.5</v>
      </c>
      <c r="R145" s="2" t="n">
        <v>6400</v>
      </c>
      <c r="S145" s="2" t="n">
        <v>8800</v>
      </c>
      <c r="T145" s="4" t="n">
        <f aca="false">P145*R145*Assumptions!$B$10/1000</f>
        <v>614.4</v>
      </c>
      <c r="U145" s="4" t="n">
        <f aca="false">IF(ISNUMBER(S145),P145*S145*Assumptions!$B$10/1000,"N/A")</f>
        <v>844.8</v>
      </c>
      <c r="V145" s="5" t="n">
        <f aca="false">F145*Q145*IF(N145="E-core (Sierra Forest)",Assumptions!$B$8,Assumptions!$B$4)/1000</f>
        <v>7.68</v>
      </c>
      <c r="W145" s="5" t="n">
        <f aca="false">F145*Q145*IF(N145="E-core (Sierra Forest)",Assumptions!$B$9,Assumptions!$B$5)/1000</f>
        <v>15.36</v>
      </c>
      <c r="X145" s="4" t="n">
        <f aca="false">IF(N145="E-core (Sierra Forest)","N/A (no AMX)",F145*Q145*Assumptions!$B$6/1000)</f>
        <v>245.76</v>
      </c>
      <c r="Y145" s="4" t="n">
        <f aca="false">IF(N145="E-core (Sierra Forest)","N/A (no AMX)",F145*Q145*Assumptions!$B$7/1000)</f>
        <v>491.52</v>
      </c>
      <c r="Z145" s="2" t="s">
        <v>38</v>
      </c>
    </row>
    <row r="146" customFormat="false" ht="53.7" hidden="false" customHeight="false" outlineLevel="0" collapsed="false">
      <c r="A146" s="2" t="s">
        <v>211</v>
      </c>
      <c r="B146" s="2" t="s">
        <v>221</v>
      </c>
      <c r="C146" s="2" t="s">
        <v>222</v>
      </c>
      <c r="D146" s="3" t="s">
        <v>29</v>
      </c>
      <c r="E146" s="2" t="s">
        <v>107</v>
      </c>
      <c r="F146" s="2" t="n">
        <v>32</v>
      </c>
      <c r="G146" s="2" t="n">
        <v>300</v>
      </c>
      <c r="H146" s="2" t="s">
        <v>108</v>
      </c>
      <c r="I146" s="2" t="s">
        <v>109</v>
      </c>
      <c r="J146" s="2" t="s">
        <v>33</v>
      </c>
      <c r="K146" s="2"/>
      <c r="L146" s="2" t="s">
        <v>223</v>
      </c>
      <c r="M146" s="2" t="s">
        <v>224</v>
      </c>
      <c r="N146" s="2" t="s">
        <v>36</v>
      </c>
      <c r="O146" s="2" t="s">
        <v>37</v>
      </c>
      <c r="P146" s="2" t="n">
        <v>8</v>
      </c>
      <c r="Q146" s="4" t="n">
        <v>3.1</v>
      </c>
      <c r="R146" s="2" t="n">
        <v>6400</v>
      </c>
      <c r="S146" s="2" t="n">
        <v>8000</v>
      </c>
      <c r="T146" s="4" t="n">
        <f aca="false">P146*R146*Assumptions!$B$10/1000</f>
        <v>409.6</v>
      </c>
      <c r="U146" s="4" t="n">
        <f aca="false">IF(ISNUMBER(S146),P146*S146*Assumptions!$B$10/1000,"N/A")</f>
        <v>512</v>
      </c>
      <c r="V146" s="5" t="n">
        <f aca="false">F146*Q146*IF(N146="E-core (Sierra Forest)",Assumptions!$B$8,Assumptions!$B$4)/1000</f>
        <v>3.1744</v>
      </c>
      <c r="W146" s="5" t="n">
        <f aca="false">F146*Q146*IF(N146="E-core (Sierra Forest)",Assumptions!$B$9,Assumptions!$B$5)/1000</f>
        <v>6.3488</v>
      </c>
      <c r="X146" s="4" t="n">
        <f aca="false">IF(N146="E-core (Sierra Forest)","N/A (no AMX)",F146*Q146*Assumptions!$B$6/1000)</f>
        <v>101.5808</v>
      </c>
      <c r="Y146" s="4" t="n">
        <f aca="false">IF(N146="E-core (Sierra Forest)","N/A (no AMX)",F146*Q146*Assumptions!$B$7/1000)</f>
        <v>203.1616</v>
      </c>
      <c r="Z146" s="2" t="s">
        <v>38</v>
      </c>
    </row>
    <row r="147" customFormat="false" ht="53.7" hidden="false" customHeight="false" outlineLevel="0" collapsed="false">
      <c r="A147" s="2" t="s">
        <v>211</v>
      </c>
      <c r="B147" s="2" t="s">
        <v>221</v>
      </c>
      <c r="C147" s="2" t="s">
        <v>222</v>
      </c>
      <c r="D147" s="6" t="s">
        <v>39</v>
      </c>
      <c r="E147" s="2" t="s">
        <v>97</v>
      </c>
      <c r="F147" s="2" t="n">
        <v>120</v>
      </c>
      <c r="G147" s="2" t="n">
        <v>500</v>
      </c>
      <c r="H147" s="2" t="s">
        <v>98</v>
      </c>
      <c r="I147" s="2" t="s">
        <v>58</v>
      </c>
      <c r="J147" s="2" t="s">
        <v>47</v>
      </c>
      <c r="K147" s="2"/>
      <c r="L147" s="2" t="s">
        <v>223</v>
      </c>
      <c r="M147" s="2" t="s">
        <v>224</v>
      </c>
      <c r="N147" s="2" t="s">
        <v>36</v>
      </c>
      <c r="O147" s="2" t="s">
        <v>48</v>
      </c>
      <c r="P147" s="2" t="n">
        <v>12</v>
      </c>
      <c r="Q147" s="4" t="n">
        <v>2.1</v>
      </c>
      <c r="R147" s="2" t="n">
        <v>6400</v>
      </c>
      <c r="S147" s="2" t="n">
        <v>8800</v>
      </c>
      <c r="T147" s="4" t="n">
        <f aca="false">P147*R147*Assumptions!$B$10/1000</f>
        <v>614.4</v>
      </c>
      <c r="U147" s="4" t="n">
        <f aca="false">IF(ISNUMBER(S147),P147*S147*Assumptions!$B$10/1000,"N/A")</f>
        <v>844.8</v>
      </c>
      <c r="V147" s="5" t="n">
        <f aca="false">F147*Q147*IF(N147="E-core (Sierra Forest)",Assumptions!$B$8,Assumptions!$B$4)/1000</f>
        <v>8.064</v>
      </c>
      <c r="W147" s="5" t="n">
        <f aca="false">F147*Q147*IF(N147="E-core (Sierra Forest)",Assumptions!$B$9,Assumptions!$B$5)/1000</f>
        <v>16.128</v>
      </c>
      <c r="X147" s="4" t="n">
        <f aca="false">IF(N147="E-core (Sierra Forest)","N/A (no AMX)",F147*Q147*Assumptions!$B$6/1000)</f>
        <v>258.048</v>
      </c>
      <c r="Y147" s="4" t="n">
        <f aca="false">IF(N147="E-core (Sierra Forest)","N/A (no AMX)",F147*Q147*Assumptions!$B$7/1000)</f>
        <v>516.096</v>
      </c>
      <c r="Z147" s="2" t="s">
        <v>38</v>
      </c>
    </row>
    <row r="148" customFormat="false" ht="53.7" hidden="false" customHeight="false" outlineLevel="0" collapsed="false">
      <c r="A148" s="2" t="s">
        <v>211</v>
      </c>
      <c r="B148" s="2" t="s">
        <v>221</v>
      </c>
      <c r="C148" s="2" t="s">
        <v>222</v>
      </c>
      <c r="D148" s="6" t="s">
        <v>39</v>
      </c>
      <c r="E148" s="2" t="s">
        <v>62</v>
      </c>
      <c r="F148" s="2" t="n">
        <v>64</v>
      </c>
      <c r="G148" s="2" t="n">
        <v>350</v>
      </c>
      <c r="H148" s="2" t="s">
        <v>54</v>
      </c>
      <c r="I148" s="2" t="s">
        <v>31</v>
      </c>
      <c r="J148" s="2" t="s">
        <v>47</v>
      </c>
      <c r="K148" s="2"/>
      <c r="L148" s="2" t="s">
        <v>223</v>
      </c>
      <c r="M148" s="2" t="s">
        <v>224</v>
      </c>
      <c r="N148" s="2" t="s">
        <v>36</v>
      </c>
      <c r="O148" s="2" t="s">
        <v>37</v>
      </c>
      <c r="P148" s="2" t="n">
        <v>8</v>
      </c>
      <c r="Q148" s="4" t="n">
        <v>2.4</v>
      </c>
      <c r="R148" s="2" t="n">
        <v>6400</v>
      </c>
      <c r="S148" s="2" t="n">
        <v>8000</v>
      </c>
      <c r="T148" s="4" t="n">
        <f aca="false">P148*R148*Assumptions!$B$10/1000</f>
        <v>409.6</v>
      </c>
      <c r="U148" s="4" t="n">
        <f aca="false">IF(ISNUMBER(S148),P148*S148*Assumptions!$B$10/1000,"N/A")</f>
        <v>512</v>
      </c>
      <c r="V148" s="5" t="n">
        <f aca="false">F148*Q148*IF(N148="E-core (Sierra Forest)",Assumptions!$B$8,Assumptions!$B$4)/1000</f>
        <v>4.9152</v>
      </c>
      <c r="W148" s="5" t="n">
        <f aca="false">F148*Q148*IF(N148="E-core (Sierra Forest)",Assumptions!$B$9,Assumptions!$B$5)/1000</f>
        <v>9.8304</v>
      </c>
      <c r="X148" s="4" t="n">
        <f aca="false">IF(N148="E-core (Sierra Forest)","N/A (no AMX)",F148*Q148*Assumptions!$B$6/1000)</f>
        <v>157.2864</v>
      </c>
      <c r="Y148" s="4" t="n">
        <f aca="false">IF(N148="E-core (Sierra Forest)","N/A (no AMX)",F148*Q148*Assumptions!$B$7/1000)</f>
        <v>314.5728</v>
      </c>
      <c r="Z148" s="2" t="s">
        <v>38</v>
      </c>
    </row>
    <row r="149" customFormat="false" ht="53.7" hidden="false" customHeight="false" outlineLevel="0" collapsed="false">
      <c r="A149" s="2" t="s">
        <v>211</v>
      </c>
      <c r="B149" s="2" t="s">
        <v>221</v>
      </c>
      <c r="C149" s="2" t="s">
        <v>222</v>
      </c>
      <c r="D149" s="7" t="s">
        <v>43</v>
      </c>
      <c r="E149" s="2" t="s">
        <v>56</v>
      </c>
      <c r="F149" s="2" t="n">
        <v>128</v>
      </c>
      <c r="G149" s="2" t="n">
        <v>500</v>
      </c>
      <c r="H149" s="2" t="s">
        <v>57</v>
      </c>
      <c r="I149" s="2" t="s">
        <v>58</v>
      </c>
      <c r="J149" s="2" t="s">
        <v>47</v>
      </c>
      <c r="K149" s="2"/>
      <c r="L149" s="2" t="s">
        <v>223</v>
      </c>
      <c r="M149" s="2" t="s">
        <v>224</v>
      </c>
      <c r="N149" s="2" t="s">
        <v>36</v>
      </c>
      <c r="O149" s="2" t="s">
        <v>48</v>
      </c>
      <c r="P149" s="2" t="n">
        <v>12</v>
      </c>
      <c r="Q149" s="4" t="n">
        <v>2</v>
      </c>
      <c r="R149" s="2" t="n">
        <v>6400</v>
      </c>
      <c r="S149" s="2" t="n">
        <v>8800</v>
      </c>
      <c r="T149" s="4" t="n">
        <f aca="false">P149*R149*Assumptions!$B$10/1000</f>
        <v>614.4</v>
      </c>
      <c r="U149" s="4" t="n">
        <f aca="false">IF(ISNUMBER(S149),P149*S149*Assumptions!$B$10/1000,"N/A")</f>
        <v>844.8</v>
      </c>
      <c r="V149" s="5" t="n">
        <f aca="false">F149*Q149*IF(N149="E-core (Sierra Forest)",Assumptions!$B$8,Assumptions!$B$4)/1000</f>
        <v>8.192</v>
      </c>
      <c r="W149" s="5" t="n">
        <f aca="false">F149*Q149*IF(N149="E-core (Sierra Forest)",Assumptions!$B$9,Assumptions!$B$5)/1000</f>
        <v>16.384</v>
      </c>
      <c r="X149" s="4" t="n">
        <f aca="false">IF(N149="E-core (Sierra Forest)","N/A (no AMX)",F149*Q149*Assumptions!$B$6/1000)</f>
        <v>262.144</v>
      </c>
      <c r="Y149" s="4" t="n">
        <f aca="false">IF(N149="E-core (Sierra Forest)","N/A (no AMX)",F149*Q149*Assumptions!$B$7/1000)</f>
        <v>524.288</v>
      </c>
      <c r="Z149" s="2" t="s">
        <v>38</v>
      </c>
    </row>
    <row r="150" customFormat="false" ht="53.7" hidden="false" customHeight="false" outlineLevel="0" collapsed="false">
      <c r="A150" s="2" t="s">
        <v>211</v>
      </c>
      <c r="B150" s="2" t="s">
        <v>221</v>
      </c>
      <c r="C150" s="2" t="s">
        <v>222</v>
      </c>
      <c r="D150" s="7" t="s">
        <v>43</v>
      </c>
      <c r="E150" s="2" t="s">
        <v>64</v>
      </c>
      <c r="F150" s="2" t="n">
        <v>86</v>
      </c>
      <c r="G150" s="2" t="n">
        <v>350</v>
      </c>
      <c r="H150" s="2" t="s">
        <v>57</v>
      </c>
      <c r="I150" s="2" t="s">
        <v>58</v>
      </c>
      <c r="J150" s="2" t="s">
        <v>46</v>
      </c>
      <c r="K150" s="2"/>
      <c r="L150" s="2" t="s">
        <v>223</v>
      </c>
      <c r="M150" s="2" t="s">
        <v>224</v>
      </c>
      <c r="N150" s="2" t="s">
        <v>36</v>
      </c>
      <c r="O150" s="2" t="s">
        <v>37</v>
      </c>
      <c r="P150" s="2" t="n">
        <v>8</v>
      </c>
      <c r="Q150" s="4" t="n">
        <v>2</v>
      </c>
      <c r="R150" s="2" t="n">
        <v>6400</v>
      </c>
      <c r="S150" s="2" t="n">
        <v>8000</v>
      </c>
      <c r="T150" s="4" t="n">
        <f aca="false">P150*R150*Assumptions!$B$10/1000</f>
        <v>409.6</v>
      </c>
      <c r="U150" s="4" t="n">
        <f aca="false">IF(ISNUMBER(S150),P150*S150*Assumptions!$B$10/1000,"N/A")</f>
        <v>512</v>
      </c>
      <c r="V150" s="5" t="n">
        <f aca="false">F150*Q150*IF(N150="E-core (Sierra Forest)",Assumptions!$B$8,Assumptions!$B$4)/1000</f>
        <v>5.504</v>
      </c>
      <c r="W150" s="5" t="n">
        <f aca="false">F150*Q150*IF(N150="E-core (Sierra Forest)",Assumptions!$B$9,Assumptions!$B$5)/1000</f>
        <v>11.008</v>
      </c>
      <c r="X150" s="4" t="n">
        <f aca="false">IF(N150="E-core (Sierra Forest)","N/A (no AMX)",F150*Q150*Assumptions!$B$6/1000)</f>
        <v>176.128</v>
      </c>
      <c r="Y150" s="4" t="n">
        <f aca="false">IF(N150="E-core (Sierra Forest)","N/A (no AMX)",F150*Q150*Assumptions!$B$7/1000)</f>
        <v>352.256</v>
      </c>
      <c r="Z150" s="2" t="s">
        <v>38</v>
      </c>
    </row>
    <row r="151" customFormat="false" ht="64.15" hidden="false" customHeight="false" outlineLevel="0" collapsed="false">
      <c r="A151" s="2" t="s">
        <v>211</v>
      </c>
      <c r="B151" s="2" t="s">
        <v>225</v>
      </c>
      <c r="C151" s="2" t="s">
        <v>226</v>
      </c>
      <c r="D151" s="3" t="s">
        <v>29</v>
      </c>
      <c r="E151" s="2" t="s">
        <v>161</v>
      </c>
      <c r="F151" s="2" t="n">
        <v>16</v>
      </c>
      <c r="G151" s="2" t="n">
        <v>190</v>
      </c>
      <c r="H151" s="2" t="s">
        <v>58</v>
      </c>
      <c r="I151" s="2" t="s">
        <v>162</v>
      </c>
      <c r="J151" s="2" t="s">
        <v>32</v>
      </c>
      <c r="K151" s="2"/>
      <c r="L151" s="2" t="s">
        <v>227</v>
      </c>
      <c r="M151" s="2" t="s">
        <v>228</v>
      </c>
      <c r="N151" s="2" t="s">
        <v>36</v>
      </c>
      <c r="O151" s="2" t="s">
        <v>37</v>
      </c>
      <c r="P151" s="2" t="n">
        <v>8</v>
      </c>
      <c r="Q151" s="4" t="n">
        <v>3.2</v>
      </c>
      <c r="R151" s="2" t="n">
        <v>6400</v>
      </c>
      <c r="S151" s="2" t="n">
        <v>8000</v>
      </c>
      <c r="T151" s="4" t="n">
        <f aca="false">P151*R151*Assumptions!$B$10/1000</f>
        <v>409.6</v>
      </c>
      <c r="U151" s="4" t="n">
        <f aca="false">IF(ISNUMBER(S151),P151*S151*Assumptions!$B$10/1000,"N/A")</f>
        <v>512</v>
      </c>
      <c r="V151" s="5" t="n">
        <f aca="false">F151*Q151*IF(N151="E-core (Sierra Forest)",Assumptions!$B$8,Assumptions!$B$4)/1000</f>
        <v>1.6384</v>
      </c>
      <c r="W151" s="5" t="n">
        <f aca="false">F151*Q151*IF(N151="E-core (Sierra Forest)",Assumptions!$B$9,Assumptions!$B$5)/1000</f>
        <v>3.2768</v>
      </c>
      <c r="X151" s="4" t="n">
        <f aca="false">IF(N151="E-core (Sierra Forest)","N/A (no AMX)",F151*Q151*Assumptions!$B$6/1000)</f>
        <v>52.4288</v>
      </c>
      <c r="Y151" s="4" t="n">
        <f aca="false">IF(N151="E-core (Sierra Forest)","N/A (no AMX)",F151*Q151*Assumptions!$B$7/1000)</f>
        <v>104.8576</v>
      </c>
      <c r="Z151" s="2" t="s">
        <v>38</v>
      </c>
    </row>
    <row r="152" customFormat="false" ht="64.15" hidden="false" customHeight="false" outlineLevel="0" collapsed="false">
      <c r="A152" s="2" t="s">
        <v>211</v>
      </c>
      <c r="B152" s="2" t="s">
        <v>225</v>
      </c>
      <c r="C152" s="2" t="s">
        <v>226</v>
      </c>
      <c r="D152" s="3" t="s">
        <v>29</v>
      </c>
      <c r="E152" s="2" t="s">
        <v>229</v>
      </c>
      <c r="F152" s="2" t="n">
        <v>24</v>
      </c>
      <c r="G152" s="2" t="n">
        <v>255</v>
      </c>
      <c r="H152" s="2" t="s">
        <v>215</v>
      </c>
      <c r="I152" s="2" t="s">
        <v>32</v>
      </c>
      <c r="J152" s="2" t="s">
        <v>32</v>
      </c>
      <c r="K152" s="2"/>
      <c r="L152" s="2" t="s">
        <v>227</v>
      </c>
      <c r="M152" s="2" t="s">
        <v>228</v>
      </c>
      <c r="N152" s="2" t="s">
        <v>36</v>
      </c>
      <c r="O152" s="2" t="s">
        <v>37</v>
      </c>
      <c r="P152" s="2" t="n">
        <v>8</v>
      </c>
      <c r="Q152" s="4" t="n">
        <v>3</v>
      </c>
      <c r="R152" s="2" t="n">
        <v>6400</v>
      </c>
      <c r="S152" s="2" t="n">
        <v>8000</v>
      </c>
      <c r="T152" s="4" t="n">
        <f aca="false">P152*R152*Assumptions!$B$10/1000</f>
        <v>409.6</v>
      </c>
      <c r="U152" s="4" t="n">
        <f aca="false">IF(ISNUMBER(S152),P152*S152*Assumptions!$B$10/1000,"N/A")</f>
        <v>512</v>
      </c>
      <c r="V152" s="5" t="n">
        <f aca="false">F152*Q152*IF(N152="E-core (Sierra Forest)",Assumptions!$B$8,Assumptions!$B$4)/1000</f>
        <v>2.304</v>
      </c>
      <c r="W152" s="5" t="n">
        <f aca="false">F152*Q152*IF(N152="E-core (Sierra Forest)",Assumptions!$B$9,Assumptions!$B$5)/1000</f>
        <v>4.608</v>
      </c>
      <c r="X152" s="4" t="n">
        <f aca="false">IF(N152="E-core (Sierra Forest)","N/A (no AMX)",F152*Q152*Assumptions!$B$6/1000)</f>
        <v>73.728</v>
      </c>
      <c r="Y152" s="4" t="n">
        <f aca="false">IF(N152="E-core (Sierra Forest)","N/A (no AMX)",F152*Q152*Assumptions!$B$7/1000)</f>
        <v>147.456</v>
      </c>
      <c r="Z152" s="2" t="s">
        <v>38</v>
      </c>
    </row>
    <row r="153" customFormat="false" ht="64.15" hidden="false" customHeight="false" outlineLevel="0" collapsed="false">
      <c r="A153" s="2" t="s">
        <v>211</v>
      </c>
      <c r="B153" s="2" t="s">
        <v>225</v>
      </c>
      <c r="C153" s="2" t="s">
        <v>226</v>
      </c>
      <c r="D153" s="6" t="s">
        <v>39</v>
      </c>
      <c r="E153" s="2" t="s">
        <v>193</v>
      </c>
      <c r="F153" s="2" t="n">
        <v>32</v>
      </c>
      <c r="G153" s="2" t="n">
        <v>245</v>
      </c>
      <c r="H153" s="2" t="s">
        <v>173</v>
      </c>
      <c r="I153" s="2" t="s">
        <v>47</v>
      </c>
      <c r="J153" s="2" t="s">
        <v>109</v>
      </c>
      <c r="K153" s="2"/>
      <c r="L153" s="2" t="s">
        <v>227</v>
      </c>
      <c r="M153" s="2" t="s">
        <v>228</v>
      </c>
      <c r="N153" s="2" t="s">
        <v>36</v>
      </c>
      <c r="O153" s="2" t="s">
        <v>37</v>
      </c>
      <c r="P153" s="2" t="n">
        <v>8</v>
      </c>
      <c r="Q153" s="4" t="n">
        <v>2.5</v>
      </c>
      <c r="R153" s="2" t="n">
        <v>6400</v>
      </c>
      <c r="S153" s="2" t="n">
        <v>8000</v>
      </c>
      <c r="T153" s="4" t="n">
        <f aca="false">P153*R153*Assumptions!$B$10/1000</f>
        <v>409.6</v>
      </c>
      <c r="U153" s="4" t="n">
        <f aca="false">IF(ISNUMBER(S153),P153*S153*Assumptions!$B$10/1000,"N/A")</f>
        <v>512</v>
      </c>
      <c r="V153" s="5" t="n">
        <f aca="false">F153*Q153*IF(N153="E-core (Sierra Forest)",Assumptions!$B$8,Assumptions!$B$4)/1000</f>
        <v>2.56</v>
      </c>
      <c r="W153" s="5" t="n">
        <f aca="false">F153*Q153*IF(N153="E-core (Sierra Forest)",Assumptions!$B$9,Assumptions!$B$5)/1000</f>
        <v>5.12</v>
      </c>
      <c r="X153" s="4" t="n">
        <f aca="false">IF(N153="E-core (Sierra Forest)","N/A (no AMX)",F153*Q153*Assumptions!$B$6/1000)</f>
        <v>81.92</v>
      </c>
      <c r="Y153" s="4" t="n">
        <f aca="false">IF(N153="E-core (Sierra Forest)","N/A (no AMX)",F153*Q153*Assumptions!$B$7/1000)</f>
        <v>163.84</v>
      </c>
      <c r="Z153" s="2" t="s">
        <v>38</v>
      </c>
    </row>
    <row r="154" customFormat="false" ht="64.15" hidden="false" customHeight="false" outlineLevel="0" collapsed="false">
      <c r="A154" s="2" t="s">
        <v>211</v>
      </c>
      <c r="B154" s="2" t="s">
        <v>225</v>
      </c>
      <c r="C154" s="2" t="s">
        <v>226</v>
      </c>
      <c r="D154" s="6" t="s">
        <v>39</v>
      </c>
      <c r="E154" s="2" t="s">
        <v>197</v>
      </c>
      <c r="F154" s="2" t="n">
        <v>48</v>
      </c>
      <c r="G154" s="2" t="n">
        <v>300</v>
      </c>
      <c r="H154" s="2" t="s">
        <v>173</v>
      </c>
      <c r="I154" s="2" t="s">
        <v>157</v>
      </c>
      <c r="J154" s="2" t="s">
        <v>46</v>
      </c>
      <c r="K154" s="2"/>
      <c r="L154" s="2" t="s">
        <v>227</v>
      </c>
      <c r="M154" s="2" t="s">
        <v>228</v>
      </c>
      <c r="N154" s="2" t="s">
        <v>36</v>
      </c>
      <c r="O154" s="2" t="s">
        <v>37</v>
      </c>
      <c r="P154" s="2" t="n">
        <v>8</v>
      </c>
      <c r="Q154" s="4" t="n">
        <v>2.5</v>
      </c>
      <c r="R154" s="2" t="n">
        <v>6400</v>
      </c>
      <c r="S154" s="2" t="n">
        <v>8000</v>
      </c>
      <c r="T154" s="4" t="n">
        <f aca="false">P154*R154*Assumptions!$B$10/1000</f>
        <v>409.6</v>
      </c>
      <c r="U154" s="4" t="n">
        <f aca="false">IF(ISNUMBER(S154),P154*S154*Assumptions!$B$10/1000,"N/A")</f>
        <v>512</v>
      </c>
      <c r="V154" s="5" t="n">
        <f aca="false">F154*Q154*IF(N154="E-core (Sierra Forest)",Assumptions!$B$8,Assumptions!$B$4)/1000</f>
        <v>3.84</v>
      </c>
      <c r="W154" s="5" t="n">
        <f aca="false">F154*Q154*IF(N154="E-core (Sierra Forest)",Assumptions!$B$9,Assumptions!$B$5)/1000</f>
        <v>7.68</v>
      </c>
      <c r="X154" s="4" t="n">
        <f aca="false">IF(N154="E-core (Sierra Forest)","N/A (no AMX)",F154*Q154*Assumptions!$B$6/1000)</f>
        <v>122.88</v>
      </c>
      <c r="Y154" s="4" t="n">
        <f aca="false">IF(N154="E-core (Sierra Forest)","N/A (no AMX)",F154*Q154*Assumptions!$B$7/1000)</f>
        <v>245.76</v>
      </c>
      <c r="Z154" s="2" t="s">
        <v>38</v>
      </c>
    </row>
    <row r="155" customFormat="false" ht="64.15" hidden="false" customHeight="false" outlineLevel="0" collapsed="false">
      <c r="A155" s="2" t="s">
        <v>211</v>
      </c>
      <c r="B155" s="2" t="s">
        <v>225</v>
      </c>
      <c r="C155" s="2" t="s">
        <v>226</v>
      </c>
      <c r="D155" s="7" t="s">
        <v>43</v>
      </c>
      <c r="E155" s="2" t="s">
        <v>106</v>
      </c>
      <c r="F155" s="2" t="n">
        <v>32</v>
      </c>
      <c r="G155" s="2" t="n">
        <v>270</v>
      </c>
      <c r="H155" s="2" t="s">
        <v>41</v>
      </c>
      <c r="I155" s="2" t="s">
        <v>109</v>
      </c>
      <c r="J155" s="2" t="s">
        <v>32</v>
      </c>
      <c r="K155" s="2"/>
      <c r="L155" s="2" t="s">
        <v>227</v>
      </c>
      <c r="M155" s="2" t="s">
        <v>228</v>
      </c>
      <c r="N155" s="2" t="s">
        <v>36</v>
      </c>
      <c r="O155" s="2" t="s">
        <v>37</v>
      </c>
      <c r="P155" s="2" t="n">
        <v>8</v>
      </c>
      <c r="Q155" s="4" t="n">
        <v>2.9</v>
      </c>
      <c r="R155" s="2" t="n">
        <v>6400</v>
      </c>
      <c r="S155" s="2" t="n">
        <v>8000</v>
      </c>
      <c r="T155" s="4" t="n">
        <f aca="false">P155*R155*Assumptions!$B$10/1000</f>
        <v>409.6</v>
      </c>
      <c r="U155" s="4" t="n">
        <f aca="false">IF(ISNUMBER(S155),P155*S155*Assumptions!$B$10/1000,"N/A")</f>
        <v>512</v>
      </c>
      <c r="V155" s="5" t="n">
        <f aca="false">F155*Q155*IF(N155="E-core (Sierra Forest)",Assumptions!$B$8,Assumptions!$B$4)/1000</f>
        <v>2.9696</v>
      </c>
      <c r="W155" s="5" t="n">
        <f aca="false">F155*Q155*IF(N155="E-core (Sierra Forest)",Assumptions!$B$9,Assumptions!$B$5)/1000</f>
        <v>5.9392</v>
      </c>
      <c r="X155" s="4" t="n">
        <f aca="false">IF(N155="E-core (Sierra Forest)","N/A (no AMX)",F155*Q155*Assumptions!$B$6/1000)</f>
        <v>95.0272</v>
      </c>
      <c r="Y155" s="4" t="n">
        <f aca="false">IF(N155="E-core (Sierra Forest)","N/A (no AMX)",F155*Q155*Assumptions!$B$7/1000)</f>
        <v>190.0544</v>
      </c>
      <c r="Z155" s="2" t="s">
        <v>38</v>
      </c>
    </row>
    <row r="156" customFormat="false" ht="64.15" hidden="false" customHeight="false" outlineLevel="0" collapsed="false">
      <c r="A156" s="2" t="s">
        <v>211</v>
      </c>
      <c r="B156" s="2" t="s">
        <v>225</v>
      </c>
      <c r="C156" s="2" t="s">
        <v>226</v>
      </c>
      <c r="D156" s="7" t="s">
        <v>43</v>
      </c>
      <c r="E156" s="2" t="s">
        <v>196</v>
      </c>
      <c r="F156" s="2" t="n">
        <v>64</v>
      </c>
      <c r="G156" s="2" t="n">
        <v>350</v>
      </c>
      <c r="H156" s="2" t="s">
        <v>173</v>
      </c>
      <c r="I156" s="2" t="s">
        <v>31</v>
      </c>
      <c r="J156" s="2" t="s">
        <v>47</v>
      </c>
      <c r="K156" s="2"/>
      <c r="L156" s="2" t="s">
        <v>227</v>
      </c>
      <c r="M156" s="2" t="s">
        <v>228</v>
      </c>
      <c r="N156" s="2" t="s">
        <v>36</v>
      </c>
      <c r="O156" s="2" t="s">
        <v>37</v>
      </c>
      <c r="P156" s="2" t="n">
        <v>8</v>
      </c>
      <c r="Q156" s="4" t="n">
        <v>2.5</v>
      </c>
      <c r="R156" s="2" t="n">
        <v>6400</v>
      </c>
      <c r="S156" s="2" t="n">
        <v>8000</v>
      </c>
      <c r="T156" s="4" t="n">
        <f aca="false">P156*R156*Assumptions!$B$10/1000</f>
        <v>409.6</v>
      </c>
      <c r="U156" s="4" t="n">
        <f aca="false">IF(ISNUMBER(S156),P156*S156*Assumptions!$B$10/1000,"N/A")</f>
        <v>512</v>
      </c>
      <c r="V156" s="5" t="n">
        <f aca="false">F156*Q156*IF(N156="E-core (Sierra Forest)",Assumptions!$B$8,Assumptions!$B$4)/1000</f>
        <v>5.12</v>
      </c>
      <c r="W156" s="5" t="n">
        <f aca="false">F156*Q156*IF(N156="E-core (Sierra Forest)",Assumptions!$B$9,Assumptions!$B$5)/1000</f>
        <v>10.24</v>
      </c>
      <c r="X156" s="4" t="n">
        <f aca="false">IF(N156="E-core (Sierra Forest)","N/A (no AMX)",F156*Q156*Assumptions!$B$6/1000)</f>
        <v>163.84</v>
      </c>
      <c r="Y156" s="4" t="n">
        <f aca="false">IF(N156="E-core (Sierra Forest)","N/A (no AMX)",F156*Q156*Assumptions!$B$7/1000)</f>
        <v>327.68</v>
      </c>
      <c r="Z156" s="2" t="s">
        <v>38</v>
      </c>
    </row>
    <row r="158" customFormat="false" ht="15" hidden="false" customHeight="false" outlineLevel="0" collapsed="false">
      <c r="A158" s="8" t="s">
        <v>230</v>
      </c>
    </row>
    <row r="159" customFormat="false" ht="30" hidden="false" customHeight="true" outlineLevel="0" collapsed="false">
      <c r="A159" s="9" t="s">
        <v>231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</row>
  </sheetData>
  <autoFilter ref="A1:Z156"/>
  <mergeCells count="1">
    <mergeCell ref="A159:M1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4" min="4" style="0" width="20"/>
  </cols>
  <sheetData>
    <row r="1" customFormat="false" ht="16.15" hidden="false" customHeight="false" outlineLevel="0" collapsed="false">
      <c r="A1" s="10" t="s">
        <v>232</v>
      </c>
      <c r="B1" s="10"/>
      <c r="C1" s="10"/>
      <c r="D1" s="10"/>
    </row>
    <row r="3" customFormat="false" ht="15" hidden="false" customHeight="false" outlineLevel="0" collapsed="false">
      <c r="A3" s="11" t="s">
        <v>233</v>
      </c>
      <c r="B3" s="11" t="s">
        <v>234</v>
      </c>
      <c r="C3" s="11" t="s">
        <v>235</v>
      </c>
    </row>
    <row r="4" customFormat="false" ht="27.75" hidden="false" customHeight="true" outlineLevel="0" collapsed="false">
      <c r="A4" s="12" t="s">
        <v>236</v>
      </c>
      <c r="B4" s="13" t="n">
        <v>32</v>
      </c>
      <c r="C4" s="14" t="s">
        <v>237</v>
      </c>
    </row>
    <row r="5" customFormat="false" ht="27.75" hidden="false" customHeight="true" outlineLevel="0" collapsed="false">
      <c r="A5" s="12" t="s">
        <v>238</v>
      </c>
      <c r="B5" s="13" t="n">
        <v>64</v>
      </c>
      <c r="C5" s="14" t="s">
        <v>239</v>
      </c>
    </row>
    <row r="6" customFormat="false" ht="27.75" hidden="false" customHeight="true" outlineLevel="0" collapsed="false">
      <c r="A6" s="12" t="s">
        <v>240</v>
      </c>
      <c r="B6" s="13" t="n">
        <v>1024</v>
      </c>
      <c r="C6" s="14" t="s">
        <v>241</v>
      </c>
    </row>
    <row r="7" customFormat="false" ht="27.75" hidden="false" customHeight="true" outlineLevel="0" collapsed="false">
      <c r="A7" s="12" t="s">
        <v>242</v>
      </c>
      <c r="B7" s="13" t="n">
        <v>2048</v>
      </c>
      <c r="C7" s="14" t="s">
        <v>241</v>
      </c>
    </row>
    <row r="8" customFormat="false" ht="27.75" hidden="false" customHeight="true" outlineLevel="0" collapsed="false">
      <c r="A8" s="12" t="s">
        <v>243</v>
      </c>
      <c r="B8" s="13" t="n">
        <v>16</v>
      </c>
      <c r="C8" s="14" t="s">
        <v>244</v>
      </c>
    </row>
    <row r="9" customFormat="false" ht="27.75" hidden="false" customHeight="true" outlineLevel="0" collapsed="false">
      <c r="A9" s="12" t="s">
        <v>245</v>
      </c>
      <c r="B9" s="13" t="n">
        <v>32</v>
      </c>
      <c r="C9" s="14" t="s">
        <v>246</v>
      </c>
    </row>
    <row r="10" customFormat="false" ht="27.75" hidden="false" customHeight="true" outlineLevel="0" collapsed="false">
      <c r="A10" s="12" t="s">
        <v>247</v>
      </c>
      <c r="B10" s="13" t="n">
        <v>8</v>
      </c>
      <c r="C10" s="14" t="s">
        <v>248</v>
      </c>
    </row>
    <row r="11" customFormat="false" ht="27.75" hidden="false" customHeight="true" outlineLevel="0" collapsed="false">
      <c r="A11" s="12" t="s">
        <v>249</v>
      </c>
      <c r="B11" s="13" t="n">
        <v>6400</v>
      </c>
      <c r="C11" s="14" t="s">
        <v>250</v>
      </c>
    </row>
    <row r="12" customFormat="false" ht="27.75" hidden="false" customHeight="true" outlineLevel="0" collapsed="false">
      <c r="A12" s="12" t="s">
        <v>251</v>
      </c>
      <c r="B12" s="13" t="n">
        <v>8800</v>
      </c>
      <c r="C12" s="14" t="s">
        <v>252</v>
      </c>
    </row>
    <row r="13" customFormat="false" ht="27.75" hidden="false" customHeight="true" outlineLevel="0" collapsed="false">
      <c r="A13" s="12" t="s">
        <v>253</v>
      </c>
      <c r="B13" s="13" t="n">
        <v>8000</v>
      </c>
      <c r="C13" s="14" t="s">
        <v>254</v>
      </c>
    </row>
    <row r="14" customFormat="false" ht="27.75" hidden="false" customHeight="true" outlineLevel="0" collapsed="false">
      <c r="A14" s="12" t="s">
        <v>255</v>
      </c>
      <c r="B14" s="13" t="n">
        <v>5600</v>
      </c>
      <c r="C14" s="14" t="s">
        <v>256</v>
      </c>
    </row>
    <row r="16" customFormat="false" ht="15" hidden="false" customHeight="false" outlineLevel="0" collapsed="false">
      <c r="A16" s="15" t="s">
        <v>257</v>
      </c>
    </row>
    <row r="17" customFormat="false" ht="15.75" hidden="false" customHeight="true" outlineLevel="0" collapsed="false">
      <c r="A17" s="13" t="s">
        <v>19</v>
      </c>
      <c r="B17" s="16" t="s">
        <v>258</v>
      </c>
      <c r="C17" s="16"/>
      <c r="D17" s="16"/>
    </row>
    <row r="18" customFormat="false" ht="15.75" hidden="false" customHeight="true" outlineLevel="0" collapsed="false">
      <c r="A18" s="13" t="s">
        <v>20</v>
      </c>
      <c r="B18" s="16" t="s">
        <v>259</v>
      </c>
      <c r="C18" s="16"/>
      <c r="D18" s="16"/>
    </row>
    <row r="19" customFormat="false" ht="15.75" hidden="false" customHeight="true" outlineLevel="0" collapsed="false">
      <c r="A19" s="13" t="s">
        <v>260</v>
      </c>
      <c r="B19" s="16" t="s">
        <v>261</v>
      </c>
      <c r="C19" s="16"/>
      <c r="D19" s="16"/>
    </row>
    <row r="20" customFormat="false" ht="15.75" hidden="false" customHeight="true" outlineLevel="0" collapsed="false">
      <c r="A20" s="13" t="s">
        <v>262</v>
      </c>
      <c r="B20" s="16" t="s">
        <v>263</v>
      </c>
      <c r="C20" s="16"/>
      <c r="D20" s="16"/>
    </row>
    <row r="21" customFormat="false" ht="15.75" hidden="false" customHeight="true" outlineLevel="0" collapsed="false">
      <c r="A21" s="13" t="s">
        <v>264</v>
      </c>
      <c r="B21" s="16" t="s">
        <v>265</v>
      </c>
      <c r="C21" s="16"/>
      <c r="D21" s="16"/>
    </row>
    <row r="22" customFormat="false" ht="15.75" hidden="false" customHeight="true" outlineLevel="0" collapsed="false">
      <c r="A22" s="13" t="s">
        <v>266</v>
      </c>
      <c r="B22" s="16" t="s">
        <v>267</v>
      </c>
      <c r="C22" s="16"/>
      <c r="D22" s="16"/>
    </row>
    <row r="24" customFormat="false" ht="15" hidden="false" customHeight="false" outlineLevel="0" collapsed="false">
      <c r="A24" s="15" t="s">
        <v>268</v>
      </c>
    </row>
    <row r="25" customFormat="false" ht="45.75" hidden="false" customHeight="true" outlineLevel="0" collapsed="false">
      <c r="A25" s="17" t="s">
        <v>269</v>
      </c>
      <c r="B25" s="17"/>
      <c r="C25" s="17"/>
      <c r="D25" s="17"/>
      <c r="E25" s="17"/>
      <c r="F25" s="17"/>
    </row>
    <row r="26" customFormat="false" ht="45.75" hidden="false" customHeight="true" outlineLevel="0" collapsed="false">
      <c r="A26" s="17" t="s">
        <v>270</v>
      </c>
      <c r="B26" s="17"/>
      <c r="C26" s="17"/>
      <c r="D26" s="17"/>
      <c r="E26" s="17"/>
      <c r="F26" s="17"/>
    </row>
    <row r="27" customFormat="false" ht="45.75" hidden="false" customHeight="true" outlineLevel="0" collapsed="false">
      <c r="A27" s="17" t="s">
        <v>271</v>
      </c>
      <c r="B27" s="17"/>
      <c r="C27" s="17"/>
      <c r="D27" s="17"/>
      <c r="E27" s="17"/>
      <c r="F27" s="17"/>
    </row>
    <row r="28" customFormat="false" ht="45.75" hidden="false" customHeight="true" outlineLevel="0" collapsed="false">
      <c r="A28" s="17" t="s">
        <v>272</v>
      </c>
      <c r="B28" s="17"/>
      <c r="C28" s="17"/>
      <c r="D28" s="17"/>
      <c r="E28" s="17"/>
      <c r="F28" s="17"/>
    </row>
    <row r="29" customFormat="false" ht="45.75" hidden="false" customHeight="true" outlineLevel="0" collapsed="false">
      <c r="A29" s="17" t="s">
        <v>273</v>
      </c>
      <c r="B29" s="17"/>
      <c r="C29" s="17"/>
      <c r="D29" s="17"/>
      <c r="E29" s="17"/>
      <c r="F29" s="17"/>
    </row>
    <row r="31" customFormat="false" ht="15" hidden="false" customHeight="false" outlineLevel="0" collapsed="false">
      <c r="A31" s="15" t="s">
        <v>274</v>
      </c>
    </row>
    <row r="32" customFormat="false" ht="15.75" hidden="false" customHeight="true" outlineLevel="0" collapsed="false">
      <c r="A32" s="17" t="s">
        <v>275</v>
      </c>
      <c r="B32" s="17"/>
      <c r="C32" s="17"/>
      <c r="D32" s="17"/>
      <c r="E32" s="17"/>
    </row>
    <row r="33" customFormat="false" ht="15" hidden="false" customHeight="false" outlineLevel="0" collapsed="false">
      <c r="A33" s="18" t="s">
        <v>276</v>
      </c>
    </row>
    <row r="34" customFormat="false" ht="15.75" hidden="false" customHeight="true" outlineLevel="0" collapsed="false">
      <c r="A34" s="17" t="s">
        <v>277</v>
      </c>
      <c r="B34" s="17"/>
      <c r="C34" s="17"/>
      <c r="D34" s="17"/>
      <c r="E34" s="17"/>
    </row>
    <row r="35" customFormat="false" ht="15" hidden="false" customHeight="false" outlineLevel="0" collapsed="false">
      <c r="A35" s="18" t="s">
        <v>278</v>
      </c>
    </row>
    <row r="36" customFormat="false" ht="15.75" hidden="false" customHeight="true" outlineLevel="0" collapsed="false">
      <c r="A36" s="17" t="s">
        <v>279</v>
      </c>
      <c r="B36" s="17"/>
      <c r="C36" s="17"/>
      <c r="D36" s="17"/>
      <c r="E36" s="17"/>
    </row>
    <row r="37" customFormat="false" ht="15" hidden="false" customHeight="false" outlineLevel="0" collapsed="false">
      <c r="A37" s="18" t="s">
        <v>280</v>
      </c>
    </row>
    <row r="38" customFormat="false" ht="15.75" hidden="false" customHeight="true" outlineLevel="0" collapsed="false">
      <c r="A38" s="17" t="s">
        <v>281</v>
      </c>
      <c r="B38" s="17"/>
      <c r="C38" s="17"/>
      <c r="D38" s="17"/>
      <c r="E38" s="17"/>
    </row>
    <row r="39" customFormat="false" ht="15" hidden="false" customHeight="false" outlineLevel="0" collapsed="false">
      <c r="A39" s="18" t="s">
        <v>282</v>
      </c>
    </row>
    <row r="40" customFormat="false" ht="15.75" hidden="false" customHeight="true" outlineLevel="0" collapsed="false">
      <c r="A40" s="17" t="s">
        <v>283</v>
      </c>
      <c r="B40" s="17"/>
      <c r="C40" s="17"/>
      <c r="D40" s="17"/>
      <c r="E40" s="17"/>
    </row>
    <row r="41" customFormat="false" ht="15" hidden="false" customHeight="false" outlineLevel="0" collapsed="false">
      <c r="A41" s="18" t="s">
        <v>284</v>
      </c>
    </row>
    <row r="42" customFormat="false" ht="15.75" hidden="false" customHeight="true" outlineLevel="0" collapsed="false">
      <c r="A42" s="17" t="s">
        <v>285</v>
      </c>
      <c r="B42" s="17"/>
      <c r="C42" s="17"/>
      <c r="D42" s="17"/>
      <c r="E42" s="17"/>
    </row>
    <row r="43" customFormat="false" ht="15" hidden="false" customHeight="false" outlineLevel="0" collapsed="false">
      <c r="A43" s="18" t="s">
        <v>286</v>
      </c>
    </row>
    <row r="44" customFormat="false" ht="15.75" hidden="false" customHeight="true" outlineLevel="0" collapsed="false">
      <c r="A44" s="17" t="s">
        <v>287</v>
      </c>
      <c r="B44" s="17"/>
      <c r="C44" s="17"/>
      <c r="D44" s="17"/>
      <c r="E44" s="17"/>
    </row>
    <row r="45" customFormat="false" ht="15" hidden="false" customHeight="false" outlineLevel="0" collapsed="false">
      <c r="A45" s="18" t="s">
        <v>288</v>
      </c>
    </row>
  </sheetData>
  <mergeCells count="19">
    <mergeCell ref="A1:D1"/>
    <mergeCell ref="B17:D17"/>
    <mergeCell ref="B18:D18"/>
    <mergeCell ref="B19:D19"/>
    <mergeCell ref="B20:D20"/>
    <mergeCell ref="B21:D21"/>
    <mergeCell ref="B22:D22"/>
    <mergeCell ref="A25:F25"/>
    <mergeCell ref="A26:F26"/>
    <mergeCell ref="A27:F27"/>
    <mergeCell ref="A28:F28"/>
    <mergeCell ref="A29:F29"/>
    <mergeCell ref="A32:E32"/>
    <mergeCell ref="A34:E34"/>
    <mergeCell ref="A36:E36"/>
    <mergeCell ref="A38:E38"/>
    <mergeCell ref="A40:E40"/>
    <mergeCell ref="A42:E42"/>
    <mergeCell ref="A44:E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2026-08-08T05:56:34Z</dcterms:created>
  <dc:creator>openpyxl</dc:creator>
  <dc:description/>
  <dc:language>en-US</dc:language>
  <cp:lastModifiedBy/>
  <dcterms:modified xsi:type="dcterms:W3CDTF">2026-08-08T05:56:58Z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