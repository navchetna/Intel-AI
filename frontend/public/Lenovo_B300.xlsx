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<sst xmlns="http://schemas.openxmlformats.org/spreadsheetml/2006/main" count="801" uniqueCount="402">
  <si>
    <t xml:space="preserve">Lenovo × NVIDIA HGX B300 — System Reference</t>
  </si>
  <si>
    <t xml:space="preserve">OEM system options for the High-end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</si>
  <si>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</si>
  <si>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</si>
  <si>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</si>
  <si>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</si>
  <si>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</si>
  <si>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HGX B300</t>
  </si>
  <si>
    <t xml:space="preserve">[I]</t>
  </si>
  <si>
    <t xml:space="preserve">Tier</t>
  </si>
  <si>
    <t xml:space="preserve">High-end</t>
  </si>
  <si>
    <t xml:space="preserve">[D]</t>
  </si>
  <si>
    <t xml:space="preserve">System(s)</t>
  </si>
  <si>
    <t xml:space="preserve">SR680a V4</t>
  </si>
  <si>
    <t xml:space="preserve">Host socket / series</t>
  </si>
  <si>
    <t xml:space="preserve">SR680a V4: LGA-4710 (Xeon 6700P)</t>
  </si>
  <si>
    <t xml:space="preserve">GPU silicon reference</t>
  </si>
  <si>
    <t xml:space="preserve">NVIDIA_B300_Reference.xlsx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</si>
  <si>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</si>
  <si>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</si>
  <si>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</si>
  <si>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</si>
  <si>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</si>
  <si>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</si>
  <si>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Lenovo's in-house 8U air-cooled HGX B300 platform with an explicit Xeon 6700P qualified list and fully published PSU rules. Decide 3200 W AC vs 3800 W HVAC at order time — no field upgrade path.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</si>
  <si>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</si>
  <si>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</si>
  <si>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</si>
  <si>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</si>
  <si>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</si>
  <si>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8× 3200 W AC, N+1 (230 V)</t>
  </si>
  <si>
    <t xml:space="preserve">8× 3800 W HVAC, N+N (&gt;249 VAC)</t>
  </si>
  <si>
    <t xml:space="preserve">6× 3200 W AC, N+1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</si>
  <si>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</si>
  <si>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</si>
  <si>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</si>
  <si>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</si>
  <si>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</si>
  <si>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</si>
  <si>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</si>
  <si>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</si>
  <si>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</si>
  <si>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</si>
  <si>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</si>
  <si>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</si>
  <si>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</si>
  <si>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</si>
  <si>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</si>
  <si>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</si>
  <si>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</si>
  <si>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</si>
  <si>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</si>
  <si>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</si>
  <si>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</si>
  <si>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</si>
  <si>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</si>
  <si>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SR680a V4  (Lenovo)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</si>
  <si>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</si>
  <si>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</si>
  <si>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</si>
  <si>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</si>
  <si>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</si>
  <si>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 / MT</t>
  </si>
  <si>
    <t xml:space="preserve">Lenovo ThinkSystem SR680a V4, machine type 7DMK (CTO 7DMKCTO1WW), base feature CBAD</t>
  </si>
  <si>
    <t xml:space="preserve">L1</t>
  </si>
  <si>
    <t xml:space="preserve">Form factor</t>
  </si>
  <si>
    <t xml:space="preserve">8U 19-inch rack, air-cooled; designed in-house by Lenovo</t>
  </si>
  <si>
    <t xml:space="preserve">Processor</t>
  </si>
  <si>
    <t xml:space="preserve">CPU</t>
  </si>
  <si>
    <t xml:space="preserve">Two Intel Xeon 6700P-series (Granite Rapids); up to 86C/172T, up to 2.7 GHz base, ≤350 W; 1-CPU configs not supported</t>
  </si>
  <si>
    <t xml:space="preserve">PCIe lanes</t>
  </si>
  <si>
    <t xml:space="preserve">88 per CPU; UPI 2.0 ×4 @ 24 GT/s</t>
  </si>
  <si>
    <t xml:space="preserve">Memory</t>
  </si>
  <si>
    <t xml:space="preserve">Slots / speed</t>
  </si>
  <si>
    <t xml:space="preserve">32 DIMMs (16 per CPU, 8 ch × 2 DPC); 6400 MHz at 1 DPC, 5200 MHz at 2 DPC; 4 TB max (32× 128 GB); all DIMMs identical</t>
  </si>
  <si>
    <t xml:space="preserve">RAS</t>
  </si>
  <si>
    <t xml:space="preserve">ECC, SDDC, ADDDC, mirroring, Post Package Repair</t>
  </si>
  <si>
    <t xml:space="preserve">Complex</t>
  </si>
  <si>
    <t xml:space="preserve">NVIDIA HGX B300 NVL8 1100 W 8-GPU board (feature CBAG); 288 GB HBM3e per GPU</t>
  </si>
  <si>
    <t xml:space="preserve">Interconnect</t>
  </si>
  <si>
    <t xml:space="preserve">NVLink full mesh 1.8 TB/s per GPU (links 128 GB/s bidirectional); PCIe Gen6 x16 per GPU (256 GB/s) to CX-8</t>
  </si>
  <si>
    <t xml:space="preserve">Network</t>
  </si>
  <si>
    <t xml:space="preserve">E-W</t>
  </si>
  <si>
    <t xml:space="preserve">8× OSFP 800 Gb/s (front), via 8 integrated ConnectX-8 switches on PCIe 6.0 x16</t>
  </si>
  <si>
    <t xml:space="preserve">Expansion</t>
  </si>
  <si>
    <t xml:space="preserve">Slots</t>
  </si>
  <si>
    <t xml:space="preserve">4× PCIe 5.0 x16 FHHL (2 per CPU) + 1× OCP 3.0 (PCIe 5.0 x16, CPU 1); all front</t>
  </si>
  <si>
    <t xml:space="preserve">Storage</t>
  </si>
  <si>
    <t xml:space="preserve">Bays</t>
  </si>
  <si>
    <t xml:space="preserve">8× 2.5" hot-swap PCIe 5.0 x4 NVMe (onboard, JBOD, no VROC); 122.88 TB max</t>
  </si>
  <si>
    <t xml:space="preserve">Boot</t>
  </si>
  <si>
    <t xml:space="preserve">2× front hot-swap M.2 with integrated Broadcom RAID (B550p-2HS / B540p-2HS)</t>
  </si>
  <si>
    <t xml:space="preserve">Power</t>
  </si>
  <si>
    <t xml:space="preserve">PSUs</t>
  </si>
  <si>
    <t xml:space="preserve">6 or 8 hot-swap CRPS Premium: 3200 W AC (230 V only; N+1) or 3800 W HVAC/HVDC (N+1; N+N with 8 PSUs and &gt;249 VAC / &gt;260 VDC); 80 PLUS Titanium</t>
  </si>
  <si>
    <t xml:space="preserve">Field upgrade</t>
  </si>
  <si>
    <t xml:space="preserve">3200 W → 3800 W field upgrade NOT supported (internal power architecture differs) - decide at order</t>
  </si>
  <si>
    <t xml:space="preserve">Standby mode</t>
  </si>
  <si>
    <t xml:space="preserve">Zero-output / cold-redundancy mode not supported</t>
  </si>
  <si>
    <t xml:space="preserve">Connectors</t>
  </si>
  <si>
    <t xml:space="preserve">3200 W: C19 · 3800 W: Anderson 2007G</t>
  </si>
  <si>
    <t xml:space="preserve">Cooling</t>
  </si>
  <si>
    <t xml:space="preserve">Fans</t>
  </si>
  <si>
    <t xml:space="preserve">6× front 60 mm dual-rotor (≤20.9k RPM, CPU shuttle) + 15× rear 80 mm dual-rotor (≤19.5k RPM, GPU/drives/PCIe switches), N+1; one fan per PSU; front-to-rear</t>
  </si>
  <si>
    <t xml:space="preserve">Physical</t>
  </si>
  <si>
    <t xml:space="preserve">Dimensions</t>
  </si>
  <si>
    <t xml:space="preserve">447 mm W × 351 mm H × 924 mm D</t>
  </si>
  <si>
    <t xml:space="preserve">Max weight</t>
  </si>
  <si>
    <t xml:space="preserve">124.7 kg (275 lb) - material lift required</t>
  </si>
  <si>
    <t xml:space="preserve">Management</t>
  </si>
  <si>
    <t xml:space="preserve">BMC</t>
  </si>
  <si>
    <t xml:space="preserve">XClarity Controller 3 Premier (AST2600, OpenBMC); PFR hardware RoT; TPM 2.0; power capping; XClarity Energy Manager licence</t>
  </si>
  <si>
    <t xml:space="preserve">Ports</t>
  </si>
  <si>
    <t xml:space="preserve">Front only</t>
  </si>
  <si>
    <t xml:space="preserve">4× USB 3 (5 Gb/s), 1× VGA, 1× 1GbE XCC; no rear ports</t>
  </si>
  <si>
    <t xml:space="preserve">OS</t>
  </si>
  <si>
    <t xml:space="preserve">Supported</t>
  </si>
  <si>
    <t xml:space="preserve">RHEL, Ubuntu Server</t>
  </si>
  <si>
    <t xml:space="preserve">Warranty</t>
  </si>
  <si>
    <t xml:space="preserve">Base</t>
  </si>
  <si>
    <t xml:space="preserve">3-year CRU + onsite, 9×5 NBD</t>
  </si>
  <si>
    <t xml:space="preserve">This workbook</t>
  </si>
  <si>
    <t xml:space="preserve">GPU population</t>
  </si>
  <si>
    <t xml:space="preserve">NVIDIA HGX B300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</si>
  <si>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</si>
  <si>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</si>
  <si>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</si>
  <si>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</si>
  <si>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</si>
  <si>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</si>
  <si>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</si>
  <si>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</si>
  <si>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Intel Xeon 6740P 48C 270W 2.1GHz</t>
  </si>
  <si>
    <t xml:space="preserve">C5R3</t>
  </si>
  <si>
    <t xml:space="preserve">288 MB L3; no MRDIMM</t>
  </si>
  <si>
    <t xml:space="preserve">Intel Xeon 6747P 48C 330W 2.7GHz</t>
  </si>
  <si>
    <t xml:space="preserve">C5R8</t>
  </si>
  <si>
    <t xml:space="preserve">MRDIMM 8000</t>
  </si>
  <si>
    <t xml:space="preserve">Workbook row 77</t>
  </si>
  <si>
    <t xml:space="preserve">Intel Xeon 6760P 64C 330W 2.2GHz</t>
  </si>
  <si>
    <t xml:space="preserve">C5R1</t>
  </si>
  <si>
    <t xml:space="preserve">Intel Xeon 6767P 64C 350W 2.4GHz</t>
  </si>
  <si>
    <t xml:space="preserve">C5QY</t>
  </si>
  <si>
    <t xml:space="preserve">4× QAT/DLB/DSA/IAA</t>
  </si>
  <si>
    <t xml:space="preserve">Workbook row 80</t>
  </si>
  <si>
    <t xml:space="preserve">Intel Xeon 6776P 64C 350W 2.3GHz</t>
  </si>
  <si>
    <t xml:space="preserve">CC06</t>
  </si>
  <si>
    <t xml:space="preserve">2× accelerators</t>
  </si>
  <si>
    <t xml:space="preserve">Workbook row 82</t>
  </si>
  <si>
    <t xml:space="preserve">Intel Xeon 6787P 86C 350W 2.0GHz</t>
  </si>
  <si>
    <t xml:space="preserve">C5QM</t>
  </si>
  <si>
    <t xml:space="preserve">Workbook row 86</t>
  </si>
  <si>
    <t xml:space="preserve">64GB TruDDR5 6400 2Rx4 RDIMM</t>
  </si>
  <si>
    <t xml:space="preserve">C0TQ / 4X77A90966</t>
  </si>
  <si>
    <t xml:space="preserve">96GB TruDDR5 6400 2Rx4 RDIMM</t>
  </si>
  <si>
    <t xml:space="preserve">BZ7D / 4X77A90997</t>
  </si>
  <si>
    <t xml:space="preserve">128GB TruDDR5 6400 2Rx4 RDIMM</t>
  </si>
  <si>
    <t xml:space="preserve">C0U1 / 4X77A90993</t>
  </si>
  <si>
    <t xml:space="preserve">16 or 32</t>
  </si>
  <si>
    <t xml:space="preserve">ThinkSystem NVIDIA HGX B300 NVL8 1100W 8-GPU Board</t>
  </si>
  <si>
    <t xml:space="preserve">CBAG</t>
  </si>
  <si>
    <t xml:space="preserve">2U V4 8×2.5" NVMe backplane</t>
  </si>
  <si>
    <t xml:space="preserve">C46P</t>
  </si>
  <si>
    <t xml:space="preserve">Required</t>
  </si>
  <si>
    <t xml:space="preserve">U.2 PM9D3a 15.36TB RI NVMe Gen5</t>
  </si>
  <si>
    <t xml:space="preserve">C1WL / 4XB7A93095</t>
  </si>
  <si>
    <t xml:space="preserve">Largest listed</t>
  </si>
  <si>
    <t xml:space="preserve">M.2 RAID B550p-2HS NVMe enablement kit</t>
  </si>
  <si>
    <t xml:space="preserve">CCCZ</t>
  </si>
  <si>
    <t xml:space="preserve">M.2 VA 960GB / 1.92TB RI NVMe HS</t>
  </si>
  <si>
    <t xml:space="preserve">C287 / C288</t>
  </si>
  <si>
    <t xml:space="preserve">Transceiver 800G XDR OSFP SM Solo</t>
  </si>
  <si>
    <t xml:space="preserve">CCVE / 4TC7B10008</t>
  </si>
  <si>
    <t xml:space="preserve">NVIDIA 980-9IAT0-00XM00</t>
  </si>
  <si>
    <t xml:space="preserve">Transceiver NDRx2 OSFP800 IB MM Twin</t>
  </si>
  <si>
    <t xml:space="preserve">BQMJ / 4TC7A83365</t>
  </si>
  <si>
    <t xml:space="preserve">NVIDIA 980-9I51A-00NS00</t>
  </si>
  <si>
    <t xml:space="preserve">BlueField-3 B3240 2P 400G Gen5 x16 crypto</t>
  </si>
  <si>
    <t xml:space="preserve">C4GD / 4XC7A96568</t>
  </si>
  <si>
    <t xml:space="preserve">Slots 2,4; needs power cable C9K3</t>
  </si>
  <si>
    <t xml:space="preserve">BlueField-3 B3220 2P 200G</t>
  </si>
  <si>
    <t xml:space="preserve">BVBG / 4XC7A87752</t>
  </si>
  <si>
    <t xml:space="preserve">Slots 2,5</t>
  </si>
  <si>
    <t xml:space="preserve">ConnectX-7 NDR400 OSFP 1P</t>
  </si>
  <si>
    <t xml:space="preserve">C51C / 4XC7A95508</t>
  </si>
  <si>
    <t xml:space="preserve">Broadcom 57608 2×200/1×400GbE</t>
  </si>
  <si>
    <t xml:space="preserve">C4GA / 4XC7A95572</t>
  </si>
  <si>
    <t xml:space="preserve">OCP ConnectX-6 Dx 100GbE 2P</t>
  </si>
  <si>
    <t xml:space="preserve">C62H / 4XC7A99190</t>
  </si>
  <si>
    <t xml:space="preserve">3200W 230V Titanium CRPS Premium PSU</t>
  </si>
  <si>
    <t xml:space="preserve">CBAF / 4P57A89417</t>
  </si>
  <si>
    <t xml:space="preserve">N+1; C19; 230 V only</t>
  </si>
  <si>
    <t xml:space="preserve">3800W HVAC/HVDC Titanium CRPS Premium PSU</t>
  </si>
  <si>
    <t xml:space="preserve">CBAE / 4P57B06189</t>
  </si>
  <si>
    <t xml:space="preserve">N+1 / N+N; 2007G</t>
  </si>
  <si>
    <t xml:space="preserve">Front fan</t>
  </si>
  <si>
    <t xml:space="preserve">C9JR</t>
  </si>
  <si>
    <t xml:space="preserve">60 mm dual-rotor</t>
  </si>
  <si>
    <t xml:space="preserve">Rear fan</t>
  </si>
  <si>
    <t xml:space="preserve">C1FG</t>
  </si>
  <si>
    <t xml:space="preserve">80 mm dual-rotor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</si>
  <si>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</si>
  <si>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</si>
  <si>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</si>
  <si>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3200 W AC PSU: 230 V only (no 115 V); N+1 with 6 or 8 PSUs</t>
  </si>
  <si>
    <t xml:space="preserve">3800 W HVAC/HVDC PSU: N+1 with 6 or 8 PSUs; N+N only with 8 PSUs AND input &gt;249 VAC or &gt;260 VDC</t>
  </si>
  <si>
    <t xml:space="preserve">Field upgrade from 3200 W to 3800 W PSUs is NOT supported - choose at order time</t>
  </si>
  <si>
    <t xml:space="preserve">All PSUs must be identical; zero-output (cold redundancy) mode not supported</t>
  </si>
  <si>
    <t xml:space="preserve">DCSC configurator computes power via Lenovo Capacity Planner - use it for the final PSU choice</t>
  </si>
  <si>
    <t xml:space="preserve">Connectors: C19 (3200 W) or Anderson 2007G (3800 W); cords not included with PSU options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</si>
  <si>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</si>
  <si>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</si>
  <si>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</si>
  <si>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</si>
  <si>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</si>
  <si>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</si>
  <si>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</si>
  <si>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</si>
  <si>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</si>
  <si>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</si>
  <si>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</si>
  <si>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</si>
  <si>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</si>
  <si>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</si>
  <si>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</si>
  <si>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</si>
  <si>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</si>
  <si>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</si>
  <si>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</si>
  <si>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</si>
  <si>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</si>
  <si>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</si>
  <si>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</si>
  <si>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</si>
  <si>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</si>
  <si>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</si>
  <si>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</si>
  <si>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</si>
  <si>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</si>
  <si>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</si>
  <si>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</si>
  <si>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</si>
  <si>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</si>
  <si>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</si>
  <si>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</si>
  <si>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</si>
  <si>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</si>
  <si>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</si>
  <si>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</si>
  <si>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</si>
  <si>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</si>
  <si>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</si>
  <si>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</si>
  <si>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</si>
  <si>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</si>
  <si>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</si>
  <si>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</si>
  <si>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</si>
  <si>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</si>
  <si>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</si>
  <si>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</si>
  <si>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</si>
  <si>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</si>
  <si>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</si>
  <si>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</si>
  <si>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</si>
  <si>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</si>
  <si>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</si>
  <si>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</si>
  <si>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</si>
  <si>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</si>
  <si>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</si>
  <si>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</si>
  <si>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</si>
  <si>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</si>
  <si>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</si>
  <si>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</si>
  <si>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</si>
  <si>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</si>
  <si>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</si>
  <si>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</si>
  <si>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</si>
  <si>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</si>
  <si>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</si>
  <si>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</si>
  <si>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</si>
  <si>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</si>
  <si>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</si>
  <si>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</si>
  <si>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</si>
  <si>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</si>
  <si>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</si>
  <si>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</si>
  <si>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</si>
  <si>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</si>
  <si>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</si>
  <si>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</si>
  <si>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</si>
  <si>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</si>
  <si>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</si>
  <si>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</si>
  <si>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</si>
  <si>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</si>
  <si>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</si>
  <si>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</si>
  <si>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</si>
  <si>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</si>
  <si>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</si>
  <si>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</si>
  <si>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</si>
  <si>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</si>
  <si>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</si>
  <si>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</si>
  <si>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</si>
  <si>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</si>
  <si>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</si>
  <si>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SR680a V4 — socket LGA-4710; series Xeon 6700P; OEM-qualified: 6740P, 6747P, 6760P, 6767P, 6776P, 6787P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</si>
  <si>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</si>
  <si>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</si>
  <si>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</si>
  <si>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</si>
  <si>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</si>
  <si>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</si>
  <si>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</si>
  <si>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</si>
  <si>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</si>
  <si>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Qualified by OEM</t>
  </si>
  <si>
    <t xml:space="preserve">Row 72</t>
  </si>
  <si>
    <t xml:space="preserve">6732P</t>
  </si>
  <si>
    <t xml:space="preserve">32C/350W</t>
  </si>
  <si>
    <t xml:space="preserve">Socket-compatible but NOT on OEM qualified list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</si>
  <si>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</si>
  <si>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</si>
  <si>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</si>
  <si>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</si>
  <si>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</si>
  <si>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</si>
  <si>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</si>
  <si>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</si>
  <si>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</si>
  <si>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</si>
  <si>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</si>
  <si>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</si>
  <si>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</si>
  <si>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</si>
  <si>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</si>
  <si>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</si>
  <si>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</si>
  <si>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</si>
  <si>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</si>
  <si>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</si>
  <si>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</si>
  <si>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</si>
  <si>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</si>
  <si>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</si>
  <si>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</si>
  <si>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</si>
  <si>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SR680a V4 physical &amp; electrical section (max input power, inrush, operating environment) not retrieved</t>
  </si>
  <si>
    <t xml:space="preserve">Facility sizing</t>
  </si>
  <si>
    <t xml:space="preserve">Lenovo Press LP2264 PDF p.~55</t>
  </si>
  <si>
    <t xml:space="preserve">Only 6700P SKUs qualified: workbook 'Good' 6732P not on list</t>
  </si>
  <si>
    <t xml:space="preserve">Host CPU choice</t>
  </si>
  <si>
    <t xml:space="preserve">LP2264 Table 5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</si>
  <si>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</si>
  <si>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</si>
  <si>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</si>
  <si>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</si>
  <si>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</si>
  <si>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</si>
  <si>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</si>
  <si>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</si>
  <si>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</si>
  <si>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</si>
  <si>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</si>
  <si>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Lenovo Press LP2264 - ThinkSystem SR680a V4 Product Guide (updated 28 Aug 2026)</t>
  </si>
  <si>
    <t xml:space="preserve">https://lenovopress.lenovo.com/lp2264-thinksystem-sr680a-v4-server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</si>
  <si>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</si>
  <si>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</si>
  <si>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</si>
  <si>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</si>
  <si>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</si>
  <si>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Lenovo_B300.xlsx</t>
  </si>
  <si>
    <t xml:space="preserve">  oem: Lenovo</t>
  </si>
  <si>
    <t xml:space="preserve">  gpu: B300</t>
  </si>
  <si>
    <t xml:space="preserve">  tier: "High-end"</t>
  </si>
  <si>
    <t xml:space="preserve">  chassis:</t>
  </si>
  <si>
    <t xml:space="preserve">    - model: "SR680a V4"</t>
  </si>
  <si>
    <t xml:space="preserve">      rack_units: 8</t>
  </si>
  <si>
    <t xml:space="preserve">      cpu_socket: "LGA-4710"</t>
  </si>
  <si>
    <t xml:space="preserve">  power_scenarios:   # inputs only; outputs live in 4_Power_Budget</t>
  </si>
  <si>
    <t xml:space="preserve">    - name: "8× 3200 W AC, N+1 (230 V)"</t>
  </si>
  <si>
    <t xml:space="preserve">      system: "SR680a V4"</t>
  </si>
  <si>
    <t xml:space="preserve">      gpus: 8</t>
  </si>
  <si>
    <t xml:space="preserve">      gpu_w: 1100</t>
  </si>
  <si>
    <t xml:space="preserve">      cpu: {count: 2, tdp_w: 350}</t>
  </si>
  <si>
    <t xml:space="preserve">      psu: {rating_w: 3200, installed: 8, redundant: 1}</t>
  </si>
  <si>
    <t xml:space="preserve">      assumptions_u: {dimm_w: 10, drive_w: 25, nic_w: 75, baseboard_w: 1000, fan_pct: 0.1, psu_eff: 0.95}</t>
  </si>
  <si>
    <t xml:space="preserve">    - name: "8× 3800 W HVAC, N+N (&gt;249 VAC)"</t>
  </si>
  <si>
    <t xml:space="preserve">      psu: {rating_w: 3800, installed: 8, redundant: 4}</t>
  </si>
  <si>
    <t xml:space="preserve">    - name: "6× 3200 W AC, N+1"</t>
  </si>
  <si>
    <t xml:space="preserve">      psu: {rating_w: 3200, installed: 6, redundant: 1}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</si>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</sst>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12304.6</v>
      </c>
      <c r="C18" s="11" t="n">
        <f aca="false">4_Power_Budget!C42</f>
        <v>22400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12304.6</v>
      </c>
      <c r="C19" s="11" t="n">
        <f aca="false">4_Power_Budget!D42</f>
        <v>15200</v>
      </c>
      <c r="D19" s="4" t="str">
        <f aca="false">4_Power_Budget!D45</f>
        <v>OK within redundant capacity</v>
      </c>
    </row>
    <row r="20" customFormat="false" ht="23.85" hidden="false" customHeight="false" outlineLevel="0" collapsed="false">
      <c r="A20" s="4" t="s">
        <v>32</v>
      </c>
      <c r="B20" s="11" t="n">
        <f aca="false">4_Power_Budget!E39</f>
        <v>12304.6</v>
      </c>
      <c r="C20" s="11" t="n">
        <f aca="false">4_Power_Budget!E42</f>
        <v>16000</v>
      </c>
      <c r="D20" s="4" t="str">
        <f aca="false">4_Power_Budget!E45</f>
        <v>OK within redundant capacity</v>
      </c>
    </row>
    <row r="22" customFormat="false" ht="15" hidden="false" customHeight="false" outlineLevel="0" collapsed="false">
      <c r="A22" s="9" t="s">
        <v>33</v>
      </c>
      <c r="B22" s="10"/>
      <c r="C22" s="10"/>
      <c r="D22" s="10"/>
    </row>
    <row r="23" customFormat="false" ht="15" hidden="false" customHeight="false" outlineLevel="0" collapsed="false">
      <c r="A23" s="3" t="s">
        <v>4</v>
      </c>
      <c r="B23" s="3" t="s">
        <v>34</v>
      </c>
      <c r="C23" s="3" t="s">
        <v>35</v>
      </c>
      <c r="D23" s="3" t="s">
        <v>36</v>
      </c>
    </row>
    <row r="24" customFormat="false" ht="23.85" hidden="false" customHeight="false" outlineLevel="0" collapsed="false">
      <c r="A24" s="5" t="s">
        <v>8</v>
      </c>
      <c r="B24" s="4" t="s">
        <v>37</v>
      </c>
      <c r="C24" s="4" t="s">
        <v>38</v>
      </c>
      <c r="D24" s="4" t="s">
        <v>39</v>
      </c>
    </row>
    <row r="25" customFormat="false" ht="23.85" hidden="false" customHeight="false" outlineLevel="0" collapsed="false">
      <c r="A25" s="6" t="s">
        <v>11</v>
      </c>
      <c r="B25" s="4" t="s">
        <v>40</v>
      </c>
      <c r="C25" s="4" t="s">
        <v>41</v>
      </c>
      <c r="D25" s="4" t="s">
        <v>42</v>
      </c>
    </row>
    <row r="26" customFormat="false" ht="23.85" hidden="false" customHeight="false" outlineLevel="0" collapsed="false">
      <c r="A26" s="12" t="s">
        <v>43</v>
      </c>
      <c r="B26" s="4" t="s">
        <v>44</v>
      </c>
      <c r="C26" s="4" t="s">
        <v>45</v>
      </c>
      <c r="D26" s="4" t="s">
        <v>46</v>
      </c>
    </row>
    <row r="27" customFormat="false" ht="23.85" hidden="false" customHeight="false" outlineLevel="0" collapsed="false">
      <c r="A27" s="13" t="s">
        <v>47</v>
      </c>
      <c r="B27" s="4" t="s">
        <v>48</v>
      </c>
      <c r="C27" s="4" t="s">
        <v>49</v>
      </c>
      <c r="D27" s="4" t="s">
        <v>50</v>
      </c>
    </row>
    <row r="28" customFormat="false" ht="15" hidden="false" customHeight="false" outlineLevel="0" collapsed="false">
      <c r="A28" s="14" t="s">
        <v>51</v>
      </c>
      <c r="B28" s="4" t="s">
        <v>52</v>
      </c>
      <c r="C28" s="4" t="s">
        <v>53</v>
      </c>
      <c r="D28" s="4" t="s">
        <v>53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9" t="s">
        <v>56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57</v>
      </c>
      <c r="B5" s="3" t="s">
        <v>58</v>
      </c>
      <c r="C5" s="3" t="s">
        <v>59</v>
      </c>
      <c r="D5" s="3" t="s">
        <v>3</v>
      </c>
      <c r="E5" s="3" t="s">
        <v>4</v>
      </c>
      <c r="F5" s="3" t="s">
        <v>60</v>
      </c>
    </row>
    <row r="6" customFormat="false" ht="15" hidden="false" customHeight="false" outlineLevel="0" collapsed="false">
      <c r="A6" s="4" t="s">
        <v>13</v>
      </c>
      <c r="B6" s="4" t="s">
        <v>61</v>
      </c>
      <c r="C6" s="4" t="s">
        <v>62</v>
      </c>
      <c r="D6" s="4" t="s">
        <v>63</v>
      </c>
      <c r="E6" s="5" t="s">
        <v>8</v>
      </c>
      <c r="F6" s="4" t="s">
        <v>64</v>
      </c>
    </row>
    <row r="7" customFormat="false" ht="15" hidden="false" customHeight="false" outlineLevel="0" collapsed="false">
      <c r="A7" s="4" t="s">
        <v>13</v>
      </c>
      <c r="B7" s="4" t="s">
        <v>61</v>
      </c>
      <c r="C7" s="4" t="s">
        <v>65</v>
      </c>
      <c r="D7" s="4" t="s">
        <v>66</v>
      </c>
      <c r="E7" s="5" t="s">
        <v>8</v>
      </c>
      <c r="F7" s="4" t="s">
        <v>64</v>
      </c>
    </row>
    <row r="8" customFormat="false" ht="23.85" hidden="false" customHeight="false" outlineLevel="0" collapsed="false">
      <c r="A8" s="4" t="s">
        <v>13</v>
      </c>
      <c r="B8" s="4" t="s">
        <v>67</v>
      </c>
      <c r="C8" s="4" t="s">
        <v>68</v>
      </c>
      <c r="D8" s="4" t="s">
        <v>69</v>
      </c>
      <c r="E8" s="5" t="s">
        <v>8</v>
      </c>
      <c r="F8" s="4" t="s">
        <v>64</v>
      </c>
    </row>
    <row r="9" customFormat="false" ht="15" hidden="false" customHeight="false" outlineLevel="0" collapsed="false">
      <c r="A9" s="4" t="s">
        <v>13</v>
      </c>
      <c r="B9" s="4" t="s">
        <v>67</v>
      </c>
      <c r="C9" s="4" t="s">
        <v>70</v>
      </c>
      <c r="D9" s="4" t="s">
        <v>71</v>
      </c>
      <c r="E9" s="5" t="s">
        <v>8</v>
      </c>
      <c r="F9" s="4" t="s">
        <v>64</v>
      </c>
    </row>
    <row r="10" customFormat="false" ht="23.85" hidden="false" customHeight="false" outlineLevel="0" collapsed="false">
      <c r="A10" s="4" t="s">
        <v>13</v>
      </c>
      <c r="B10" s="4" t="s">
        <v>72</v>
      </c>
      <c r="C10" s="4" t="s">
        <v>73</v>
      </c>
      <c r="D10" s="4" t="s">
        <v>74</v>
      </c>
      <c r="E10" s="5" t="s">
        <v>8</v>
      </c>
      <c r="F10" s="4" t="s">
        <v>64</v>
      </c>
    </row>
    <row r="11" customFormat="false" ht="15" hidden="false" customHeight="false" outlineLevel="0" collapsed="false">
      <c r="A11" s="4" t="s">
        <v>13</v>
      </c>
      <c r="B11" s="4" t="s">
        <v>72</v>
      </c>
      <c r="C11" s="4" t="s">
        <v>75</v>
      </c>
      <c r="D11" s="4" t="s">
        <v>76</v>
      </c>
      <c r="E11" s="5" t="s">
        <v>8</v>
      </c>
      <c r="F11" s="4" t="s">
        <v>64</v>
      </c>
    </row>
    <row r="12" customFormat="false" ht="15" hidden="false" customHeight="false" outlineLevel="0" collapsed="false">
      <c r="A12" s="4" t="s">
        <v>13</v>
      </c>
      <c r="B12" s="4" t="s">
        <v>6</v>
      </c>
      <c r="C12" s="4" t="s">
        <v>77</v>
      </c>
      <c r="D12" s="4" t="s">
        <v>78</v>
      </c>
      <c r="E12" s="5" t="s">
        <v>8</v>
      </c>
      <c r="F12" s="4" t="s">
        <v>64</v>
      </c>
    </row>
    <row r="13" customFormat="false" ht="15" hidden="false" customHeight="false" outlineLevel="0" collapsed="false">
      <c r="A13" s="4" t="s">
        <v>13</v>
      </c>
      <c r="B13" s="4" t="s">
        <v>6</v>
      </c>
      <c r="C13" s="4" t="s">
        <v>79</v>
      </c>
      <c r="D13" s="4" t="s">
        <v>80</v>
      </c>
      <c r="E13" s="5" t="s">
        <v>8</v>
      </c>
      <c r="F13" s="4" t="s">
        <v>64</v>
      </c>
    </row>
    <row r="14" customFormat="false" ht="15" hidden="false" customHeight="false" outlineLevel="0" collapsed="false">
      <c r="A14" s="4" t="s">
        <v>13</v>
      </c>
      <c r="B14" s="4" t="s">
        <v>81</v>
      </c>
      <c r="C14" s="4" t="s">
        <v>82</v>
      </c>
      <c r="D14" s="4" t="s">
        <v>83</v>
      </c>
      <c r="E14" s="5" t="s">
        <v>8</v>
      </c>
      <c r="F14" s="4" t="s">
        <v>64</v>
      </c>
    </row>
    <row r="15" customFormat="false" ht="15" hidden="false" customHeight="false" outlineLevel="0" collapsed="false">
      <c r="A15" s="4" t="s">
        <v>13</v>
      </c>
      <c r="B15" s="4" t="s">
        <v>84</v>
      </c>
      <c r="C15" s="4" t="s">
        <v>85</v>
      </c>
      <c r="D15" s="4" t="s">
        <v>86</v>
      </c>
      <c r="E15" s="5" t="s">
        <v>8</v>
      </c>
      <c r="F15" s="4" t="s">
        <v>64</v>
      </c>
    </row>
    <row r="16" customFormat="false" ht="15" hidden="false" customHeight="false" outlineLevel="0" collapsed="false">
      <c r="A16" s="4" t="s">
        <v>13</v>
      </c>
      <c r="B16" s="4" t="s">
        <v>87</v>
      </c>
      <c r="C16" s="4" t="s">
        <v>88</v>
      </c>
      <c r="D16" s="4" t="s">
        <v>89</v>
      </c>
      <c r="E16" s="5" t="s">
        <v>8</v>
      </c>
      <c r="F16" s="4" t="s">
        <v>64</v>
      </c>
    </row>
    <row r="17" customFormat="false" ht="15" hidden="false" customHeight="false" outlineLevel="0" collapsed="false">
      <c r="A17" s="4" t="s">
        <v>13</v>
      </c>
      <c r="B17" s="4" t="s">
        <v>87</v>
      </c>
      <c r="C17" s="4" t="s">
        <v>90</v>
      </c>
      <c r="D17" s="4" t="s">
        <v>91</v>
      </c>
      <c r="E17" s="5" t="s">
        <v>8</v>
      </c>
      <c r="F17" s="4" t="s">
        <v>64</v>
      </c>
    </row>
    <row r="18" customFormat="false" ht="23.85" hidden="false" customHeight="false" outlineLevel="0" collapsed="false">
      <c r="A18" s="4" t="s">
        <v>13</v>
      </c>
      <c r="B18" s="4" t="s">
        <v>92</v>
      </c>
      <c r="C18" s="4" t="s">
        <v>93</v>
      </c>
      <c r="D18" s="4" t="s">
        <v>94</v>
      </c>
      <c r="E18" s="5" t="s">
        <v>8</v>
      </c>
      <c r="F18" s="4" t="s">
        <v>64</v>
      </c>
    </row>
    <row r="19" customFormat="false" ht="15" hidden="false" customHeight="false" outlineLevel="0" collapsed="false">
      <c r="A19" s="4" t="s">
        <v>13</v>
      </c>
      <c r="B19" s="4" t="s">
        <v>92</v>
      </c>
      <c r="C19" s="4" t="s">
        <v>95</v>
      </c>
      <c r="D19" s="4" t="s">
        <v>96</v>
      </c>
      <c r="E19" s="5" t="s">
        <v>8</v>
      </c>
      <c r="F19" s="4" t="s">
        <v>64</v>
      </c>
    </row>
    <row r="20" customFormat="false" ht="15" hidden="false" customHeight="false" outlineLevel="0" collapsed="false">
      <c r="A20" s="4" t="s">
        <v>13</v>
      </c>
      <c r="B20" s="4" t="s">
        <v>92</v>
      </c>
      <c r="C20" s="4" t="s">
        <v>97</v>
      </c>
      <c r="D20" s="4" t="s">
        <v>98</v>
      </c>
      <c r="E20" s="5" t="s">
        <v>8</v>
      </c>
      <c r="F20" s="4" t="s">
        <v>64</v>
      </c>
    </row>
    <row r="21" customFormat="false" ht="15" hidden="false" customHeight="false" outlineLevel="0" collapsed="false">
      <c r="A21" s="4" t="s">
        <v>13</v>
      </c>
      <c r="B21" s="4" t="s">
        <v>92</v>
      </c>
      <c r="C21" s="4" t="s">
        <v>99</v>
      </c>
      <c r="D21" s="4" t="s">
        <v>100</v>
      </c>
      <c r="E21" s="5" t="s">
        <v>8</v>
      </c>
      <c r="F21" s="4" t="s">
        <v>64</v>
      </c>
    </row>
    <row r="22" customFormat="false" ht="23.85" hidden="false" customHeight="false" outlineLevel="0" collapsed="false">
      <c r="A22" s="4" t="s">
        <v>13</v>
      </c>
      <c r="B22" s="4" t="s">
        <v>101</v>
      </c>
      <c r="C22" s="4" t="s">
        <v>102</v>
      </c>
      <c r="D22" s="4" t="s">
        <v>103</v>
      </c>
      <c r="E22" s="5" t="s">
        <v>8</v>
      </c>
      <c r="F22" s="4" t="s">
        <v>64</v>
      </c>
    </row>
    <row r="23" customFormat="false" ht="15" hidden="false" customHeight="false" outlineLevel="0" collapsed="false">
      <c r="A23" s="4" t="s">
        <v>13</v>
      </c>
      <c r="B23" s="4" t="s">
        <v>104</v>
      </c>
      <c r="C23" s="4" t="s">
        <v>105</v>
      </c>
      <c r="D23" s="4" t="s">
        <v>106</v>
      </c>
      <c r="E23" s="5" t="s">
        <v>8</v>
      </c>
      <c r="F23" s="4" t="s">
        <v>64</v>
      </c>
    </row>
    <row r="24" customFormat="false" ht="15" hidden="false" customHeight="false" outlineLevel="0" collapsed="false">
      <c r="A24" s="4" t="s">
        <v>13</v>
      </c>
      <c r="B24" s="4" t="s">
        <v>104</v>
      </c>
      <c r="C24" s="4" t="s">
        <v>107</v>
      </c>
      <c r="D24" s="4" t="s">
        <v>108</v>
      </c>
      <c r="E24" s="5" t="s">
        <v>8</v>
      </c>
      <c r="F24" s="4" t="s">
        <v>64</v>
      </c>
    </row>
    <row r="25" customFormat="false" ht="23.85" hidden="false" customHeight="false" outlineLevel="0" collapsed="false">
      <c r="A25" s="4" t="s">
        <v>13</v>
      </c>
      <c r="B25" s="4" t="s">
        <v>109</v>
      </c>
      <c r="C25" s="4" t="s">
        <v>110</v>
      </c>
      <c r="D25" s="4" t="s">
        <v>111</v>
      </c>
      <c r="E25" s="5" t="s">
        <v>8</v>
      </c>
      <c r="F25" s="4" t="s">
        <v>64</v>
      </c>
    </row>
    <row r="26" customFormat="false" ht="15" hidden="false" customHeight="false" outlineLevel="0" collapsed="false">
      <c r="A26" s="4" t="s">
        <v>13</v>
      </c>
      <c r="B26" s="4" t="s">
        <v>112</v>
      </c>
      <c r="C26" s="4" t="s">
        <v>113</v>
      </c>
      <c r="D26" s="4" t="s">
        <v>114</v>
      </c>
      <c r="E26" s="5" t="s">
        <v>8</v>
      </c>
      <c r="F26" s="4" t="s">
        <v>64</v>
      </c>
    </row>
    <row r="27" customFormat="false" ht="15" hidden="false" customHeight="false" outlineLevel="0" collapsed="false">
      <c r="A27" s="4" t="s">
        <v>13</v>
      </c>
      <c r="B27" s="4" t="s">
        <v>115</v>
      </c>
      <c r="C27" s="4" t="s">
        <v>116</v>
      </c>
      <c r="D27" s="4" t="s">
        <v>117</v>
      </c>
      <c r="E27" s="5" t="s">
        <v>8</v>
      </c>
      <c r="F27" s="4" t="s">
        <v>64</v>
      </c>
    </row>
    <row r="28" customFormat="false" ht="15" hidden="false" customHeight="false" outlineLevel="0" collapsed="false">
      <c r="A28" s="4" t="s">
        <v>13</v>
      </c>
      <c r="B28" s="4" t="s">
        <v>118</v>
      </c>
      <c r="C28" s="4" t="s">
        <v>119</v>
      </c>
      <c r="D28" s="4" t="s">
        <v>120</v>
      </c>
      <c r="E28" s="5" t="s">
        <v>8</v>
      </c>
      <c r="F28" s="4" t="s">
        <v>64</v>
      </c>
    </row>
    <row r="29" customFormat="false" ht="15" hidden="false" customHeight="false" outlineLevel="0" collapsed="false">
      <c r="A29" s="4" t="s">
        <v>13</v>
      </c>
      <c r="B29" s="4" t="s">
        <v>121</v>
      </c>
      <c r="C29" s="4" t="s">
        <v>122</v>
      </c>
      <c r="D29" s="4" t="s">
        <v>123</v>
      </c>
      <c r="E29" s="6" t="s">
        <v>11</v>
      </c>
      <c r="F29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3" t="s">
        <v>57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4</v>
      </c>
      <c r="H4" s="3" t="s">
        <v>60</v>
      </c>
      <c r="I4" s="3" t="s">
        <v>131</v>
      </c>
    </row>
    <row r="5" customFormat="false" ht="15" hidden="false" customHeight="false" outlineLevel="0" collapsed="false">
      <c r="A5" s="4" t="s">
        <v>13</v>
      </c>
      <c r="B5" s="4" t="s">
        <v>67</v>
      </c>
      <c r="C5" s="4" t="s">
        <v>132</v>
      </c>
      <c r="D5" s="4" t="s">
        <v>133</v>
      </c>
      <c r="E5" s="4" t="n">
        <v>2</v>
      </c>
      <c r="F5" s="4" t="s">
        <v>134</v>
      </c>
      <c r="G5" s="5" t="s">
        <v>8</v>
      </c>
      <c r="H5" s="4" t="s">
        <v>64</v>
      </c>
      <c r="I5" s="4"/>
    </row>
    <row r="6" customFormat="false" ht="15" hidden="false" customHeight="false" outlineLevel="0" collapsed="false">
      <c r="A6" s="4" t="s">
        <v>13</v>
      </c>
      <c r="B6" s="4" t="s">
        <v>67</v>
      </c>
      <c r="C6" s="4" t="s">
        <v>135</v>
      </c>
      <c r="D6" s="4" t="s">
        <v>136</v>
      </c>
      <c r="E6" s="4" t="n">
        <v>2</v>
      </c>
      <c r="F6" s="4" t="s">
        <v>137</v>
      </c>
      <c r="G6" s="5" t="s">
        <v>8</v>
      </c>
      <c r="H6" s="4" t="s">
        <v>64</v>
      </c>
      <c r="I6" s="4" t="s">
        <v>138</v>
      </c>
    </row>
    <row r="7" customFormat="false" ht="15" hidden="false" customHeight="false" outlineLevel="0" collapsed="false">
      <c r="A7" s="4" t="s">
        <v>13</v>
      </c>
      <c r="B7" s="4" t="s">
        <v>67</v>
      </c>
      <c r="C7" s="4" t="s">
        <v>139</v>
      </c>
      <c r="D7" s="4" t="s">
        <v>140</v>
      </c>
      <c r="E7" s="4" t="n">
        <v>2</v>
      </c>
      <c r="F7" s="4"/>
      <c r="G7" s="5" t="s">
        <v>8</v>
      </c>
      <c r="H7" s="4" t="s">
        <v>64</v>
      </c>
      <c r="I7" s="4"/>
    </row>
    <row r="8" customFormat="false" ht="15" hidden="false" customHeight="false" outlineLevel="0" collapsed="false">
      <c r="A8" s="4" t="s">
        <v>13</v>
      </c>
      <c r="B8" s="4" t="s">
        <v>67</v>
      </c>
      <c r="C8" s="4" t="s">
        <v>141</v>
      </c>
      <c r="D8" s="4" t="s">
        <v>142</v>
      </c>
      <c r="E8" s="4" t="n">
        <v>2</v>
      </c>
      <c r="F8" s="4" t="s">
        <v>143</v>
      </c>
      <c r="G8" s="5" t="s">
        <v>8</v>
      </c>
      <c r="H8" s="4" t="s">
        <v>64</v>
      </c>
      <c r="I8" s="4" t="s">
        <v>144</v>
      </c>
    </row>
    <row r="9" customFormat="false" ht="15" hidden="false" customHeight="false" outlineLevel="0" collapsed="false">
      <c r="A9" s="4" t="s">
        <v>13</v>
      </c>
      <c r="B9" s="4" t="s">
        <v>67</v>
      </c>
      <c r="C9" s="4" t="s">
        <v>145</v>
      </c>
      <c r="D9" s="4" t="s">
        <v>146</v>
      </c>
      <c r="E9" s="4" t="n">
        <v>2</v>
      </c>
      <c r="F9" s="4" t="s">
        <v>147</v>
      </c>
      <c r="G9" s="5" t="s">
        <v>8</v>
      </c>
      <c r="H9" s="4" t="s">
        <v>64</v>
      </c>
      <c r="I9" s="4" t="s">
        <v>148</v>
      </c>
    </row>
    <row r="10" customFormat="false" ht="15" hidden="false" customHeight="false" outlineLevel="0" collapsed="false">
      <c r="A10" s="4" t="s">
        <v>13</v>
      </c>
      <c r="B10" s="4" t="s">
        <v>67</v>
      </c>
      <c r="C10" s="4" t="s">
        <v>149</v>
      </c>
      <c r="D10" s="4" t="s">
        <v>150</v>
      </c>
      <c r="E10" s="4" t="n">
        <v>2</v>
      </c>
      <c r="F10" s="4"/>
      <c r="G10" s="5" t="s">
        <v>8</v>
      </c>
      <c r="H10" s="4" t="s">
        <v>64</v>
      </c>
      <c r="I10" s="4" t="s">
        <v>151</v>
      </c>
    </row>
    <row r="11" customFormat="false" ht="15" hidden="false" customHeight="false" outlineLevel="0" collapsed="false">
      <c r="A11" s="4" t="s">
        <v>13</v>
      </c>
      <c r="B11" s="4" t="s">
        <v>72</v>
      </c>
      <c r="C11" s="4" t="s">
        <v>152</v>
      </c>
      <c r="D11" s="4" t="s">
        <v>153</v>
      </c>
      <c r="E11" s="4" t="n">
        <v>32</v>
      </c>
      <c r="F11" s="4"/>
      <c r="G11" s="5" t="s">
        <v>8</v>
      </c>
      <c r="H11" s="4" t="s">
        <v>64</v>
      </c>
      <c r="I11" s="4"/>
    </row>
    <row r="12" customFormat="false" ht="15" hidden="false" customHeight="false" outlineLevel="0" collapsed="false">
      <c r="A12" s="4" t="s">
        <v>13</v>
      </c>
      <c r="B12" s="4" t="s">
        <v>72</v>
      </c>
      <c r="C12" s="4" t="s">
        <v>154</v>
      </c>
      <c r="D12" s="4" t="s">
        <v>155</v>
      </c>
      <c r="E12" s="4" t="n">
        <v>32</v>
      </c>
      <c r="F12" s="4"/>
      <c r="G12" s="5" t="s">
        <v>8</v>
      </c>
      <c r="H12" s="4" t="s">
        <v>64</v>
      </c>
      <c r="I12" s="4"/>
    </row>
    <row r="13" customFormat="false" ht="15" hidden="false" customHeight="false" outlineLevel="0" collapsed="false">
      <c r="A13" s="4" t="s">
        <v>13</v>
      </c>
      <c r="B13" s="4" t="s">
        <v>72</v>
      </c>
      <c r="C13" s="4" t="s">
        <v>156</v>
      </c>
      <c r="D13" s="4" t="s">
        <v>157</v>
      </c>
      <c r="E13" s="4" t="n">
        <v>32</v>
      </c>
      <c r="F13" s="4" t="s">
        <v>158</v>
      </c>
      <c r="G13" s="5" t="s">
        <v>8</v>
      </c>
      <c r="H13" s="4" t="s">
        <v>64</v>
      </c>
      <c r="I13" s="4"/>
    </row>
    <row r="14" customFormat="false" ht="15" hidden="false" customHeight="false" outlineLevel="0" collapsed="false">
      <c r="A14" s="4" t="s">
        <v>13</v>
      </c>
      <c r="B14" s="4" t="s">
        <v>6</v>
      </c>
      <c r="C14" s="4" t="s">
        <v>159</v>
      </c>
      <c r="D14" s="4" t="s">
        <v>160</v>
      </c>
      <c r="E14" s="4" t="n">
        <v>1</v>
      </c>
      <c r="F14" s="4"/>
      <c r="G14" s="5" t="s">
        <v>8</v>
      </c>
      <c r="H14" s="4" t="s">
        <v>64</v>
      </c>
      <c r="I14" s="4"/>
    </row>
    <row r="15" customFormat="false" ht="15" hidden="false" customHeight="false" outlineLevel="0" collapsed="false">
      <c r="A15" s="4" t="s">
        <v>13</v>
      </c>
      <c r="B15" s="4" t="s">
        <v>87</v>
      </c>
      <c r="C15" s="4" t="s">
        <v>161</v>
      </c>
      <c r="D15" s="4" t="s">
        <v>162</v>
      </c>
      <c r="E15" s="4" t="n">
        <v>1</v>
      </c>
      <c r="F15" s="4" t="s">
        <v>163</v>
      </c>
      <c r="G15" s="5" t="s">
        <v>8</v>
      </c>
      <c r="H15" s="4" t="s">
        <v>64</v>
      </c>
      <c r="I15" s="4"/>
    </row>
    <row r="16" customFormat="false" ht="15" hidden="false" customHeight="false" outlineLevel="0" collapsed="false">
      <c r="A16" s="4" t="s">
        <v>13</v>
      </c>
      <c r="B16" s="4" t="s">
        <v>87</v>
      </c>
      <c r="C16" s="4" t="s">
        <v>164</v>
      </c>
      <c r="D16" s="4" t="s">
        <v>165</v>
      </c>
      <c r="E16" s="4" t="n">
        <v>8</v>
      </c>
      <c r="F16" s="4"/>
      <c r="G16" s="5" t="s">
        <v>8</v>
      </c>
      <c r="H16" s="4" t="s">
        <v>64</v>
      </c>
      <c r="I16" s="4" t="s">
        <v>166</v>
      </c>
    </row>
    <row r="17" customFormat="false" ht="15" hidden="false" customHeight="false" outlineLevel="0" collapsed="false">
      <c r="A17" s="4" t="s">
        <v>13</v>
      </c>
      <c r="B17" s="4" t="s">
        <v>90</v>
      </c>
      <c r="C17" s="4" t="s">
        <v>167</v>
      </c>
      <c r="D17" s="4" t="s">
        <v>168</v>
      </c>
      <c r="E17" s="4" t="n">
        <v>1</v>
      </c>
      <c r="F17" s="4"/>
      <c r="G17" s="5" t="s">
        <v>8</v>
      </c>
      <c r="H17" s="4" t="s">
        <v>64</v>
      </c>
      <c r="I17" s="4"/>
    </row>
    <row r="18" customFormat="false" ht="15" hidden="false" customHeight="false" outlineLevel="0" collapsed="false">
      <c r="A18" s="4" t="s">
        <v>13</v>
      </c>
      <c r="B18" s="4" t="s">
        <v>90</v>
      </c>
      <c r="C18" s="4" t="s">
        <v>169</v>
      </c>
      <c r="D18" s="4" t="s">
        <v>170</v>
      </c>
      <c r="E18" s="4" t="n">
        <v>2</v>
      </c>
      <c r="F18" s="4"/>
      <c r="G18" s="5" t="s">
        <v>8</v>
      </c>
      <c r="H18" s="4" t="s">
        <v>64</v>
      </c>
      <c r="I18" s="4"/>
    </row>
    <row r="19" customFormat="false" ht="15" hidden="false" customHeight="false" outlineLevel="0" collapsed="false">
      <c r="A19" s="4" t="s">
        <v>13</v>
      </c>
      <c r="B19" s="4" t="s">
        <v>81</v>
      </c>
      <c r="C19" s="4" t="s">
        <v>171</v>
      </c>
      <c r="D19" s="4" t="s">
        <v>172</v>
      </c>
      <c r="E19" s="4" t="n">
        <v>8</v>
      </c>
      <c r="F19" s="4" t="s">
        <v>173</v>
      </c>
      <c r="G19" s="5" t="s">
        <v>8</v>
      </c>
      <c r="H19" s="4" t="s">
        <v>64</v>
      </c>
      <c r="I19" s="4"/>
    </row>
    <row r="20" customFormat="false" ht="15" hidden="false" customHeight="false" outlineLevel="0" collapsed="false">
      <c r="A20" s="4" t="s">
        <v>13</v>
      </c>
      <c r="B20" s="4" t="s">
        <v>81</v>
      </c>
      <c r="C20" s="4" t="s">
        <v>174</v>
      </c>
      <c r="D20" s="4" t="s">
        <v>175</v>
      </c>
      <c r="E20" s="4" t="n">
        <v>8</v>
      </c>
      <c r="F20" s="4" t="s">
        <v>176</v>
      </c>
      <c r="G20" s="5" t="s">
        <v>8</v>
      </c>
      <c r="H20" s="4" t="s">
        <v>64</v>
      </c>
      <c r="I20" s="4"/>
    </row>
    <row r="21" customFormat="false" ht="15" hidden="false" customHeight="false" outlineLevel="0" collapsed="false">
      <c r="A21" s="4" t="s">
        <v>13</v>
      </c>
      <c r="B21" s="4" t="s">
        <v>81</v>
      </c>
      <c r="C21" s="4" t="s">
        <v>177</v>
      </c>
      <c r="D21" s="4" t="s">
        <v>178</v>
      </c>
      <c r="E21" s="4" t="n">
        <v>2</v>
      </c>
      <c r="F21" s="4" t="s">
        <v>179</v>
      </c>
      <c r="G21" s="5" t="s">
        <v>8</v>
      </c>
      <c r="H21" s="4" t="s">
        <v>64</v>
      </c>
      <c r="I21" s="4"/>
    </row>
    <row r="22" customFormat="false" ht="15" hidden="false" customHeight="false" outlineLevel="0" collapsed="false">
      <c r="A22" s="4" t="s">
        <v>13</v>
      </c>
      <c r="B22" s="4" t="s">
        <v>81</v>
      </c>
      <c r="C22" s="4" t="s">
        <v>180</v>
      </c>
      <c r="D22" s="4" t="s">
        <v>181</v>
      </c>
      <c r="E22" s="4" t="n">
        <v>2</v>
      </c>
      <c r="F22" s="4" t="s">
        <v>182</v>
      </c>
      <c r="G22" s="5" t="s">
        <v>8</v>
      </c>
      <c r="H22" s="4" t="s">
        <v>64</v>
      </c>
      <c r="I22" s="4"/>
    </row>
    <row r="23" customFormat="false" ht="15" hidden="false" customHeight="false" outlineLevel="0" collapsed="false">
      <c r="A23" s="4" t="s">
        <v>13</v>
      </c>
      <c r="B23" s="4" t="s">
        <v>81</v>
      </c>
      <c r="C23" s="4" t="s">
        <v>183</v>
      </c>
      <c r="D23" s="4" t="s">
        <v>184</v>
      </c>
      <c r="E23" s="4" t="n">
        <v>4</v>
      </c>
      <c r="F23" s="4"/>
      <c r="G23" s="5" t="s">
        <v>8</v>
      </c>
      <c r="H23" s="4" t="s">
        <v>64</v>
      </c>
      <c r="I23" s="4"/>
    </row>
    <row r="24" customFormat="false" ht="15" hidden="false" customHeight="false" outlineLevel="0" collapsed="false">
      <c r="A24" s="4" t="s">
        <v>13</v>
      </c>
      <c r="B24" s="4" t="s">
        <v>81</v>
      </c>
      <c r="C24" s="4" t="s">
        <v>185</v>
      </c>
      <c r="D24" s="4" t="s">
        <v>186</v>
      </c>
      <c r="E24" s="4" t="n">
        <v>4</v>
      </c>
      <c r="F24" s="4"/>
      <c r="G24" s="5" t="s">
        <v>8</v>
      </c>
      <c r="H24" s="4" t="s">
        <v>64</v>
      </c>
      <c r="I24" s="4"/>
    </row>
    <row r="25" customFormat="false" ht="15" hidden="false" customHeight="false" outlineLevel="0" collapsed="false">
      <c r="A25" s="4" t="s">
        <v>13</v>
      </c>
      <c r="B25" s="4" t="s">
        <v>81</v>
      </c>
      <c r="C25" s="4" t="s">
        <v>187</v>
      </c>
      <c r="D25" s="4" t="s">
        <v>188</v>
      </c>
      <c r="E25" s="4" t="n">
        <v>1</v>
      </c>
      <c r="F25" s="4"/>
      <c r="G25" s="5" t="s">
        <v>8</v>
      </c>
      <c r="H25" s="4" t="s">
        <v>64</v>
      </c>
      <c r="I25" s="4"/>
    </row>
    <row r="26" customFormat="false" ht="15" hidden="false" customHeight="false" outlineLevel="0" collapsed="false">
      <c r="A26" s="4" t="s">
        <v>13</v>
      </c>
      <c r="B26" s="4" t="s">
        <v>92</v>
      </c>
      <c r="C26" s="4" t="s">
        <v>189</v>
      </c>
      <c r="D26" s="4" t="s">
        <v>190</v>
      </c>
      <c r="E26" s="4" t="n">
        <v>8</v>
      </c>
      <c r="F26" s="4" t="s">
        <v>191</v>
      </c>
      <c r="G26" s="5" t="s">
        <v>8</v>
      </c>
      <c r="H26" s="4" t="s">
        <v>64</v>
      </c>
      <c r="I26" s="4"/>
    </row>
    <row r="27" customFormat="false" ht="15" hidden="false" customHeight="false" outlineLevel="0" collapsed="false">
      <c r="A27" s="4" t="s">
        <v>13</v>
      </c>
      <c r="B27" s="4" t="s">
        <v>92</v>
      </c>
      <c r="C27" s="4" t="s">
        <v>192</v>
      </c>
      <c r="D27" s="4" t="s">
        <v>193</v>
      </c>
      <c r="E27" s="4" t="n">
        <v>8</v>
      </c>
      <c r="F27" s="4" t="s">
        <v>194</v>
      </c>
      <c r="G27" s="5" t="s">
        <v>8</v>
      </c>
      <c r="H27" s="4" t="s">
        <v>64</v>
      </c>
      <c r="I27" s="4"/>
    </row>
    <row r="28" customFormat="false" ht="15" hidden="false" customHeight="false" outlineLevel="0" collapsed="false">
      <c r="A28" s="4" t="s">
        <v>13</v>
      </c>
      <c r="B28" s="4" t="s">
        <v>101</v>
      </c>
      <c r="C28" s="4" t="s">
        <v>195</v>
      </c>
      <c r="D28" s="4" t="s">
        <v>196</v>
      </c>
      <c r="E28" s="4" t="n">
        <v>6</v>
      </c>
      <c r="F28" s="4" t="s">
        <v>197</v>
      </c>
      <c r="G28" s="5" t="s">
        <v>8</v>
      </c>
      <c r="H28" s="4" t="s">
        <v>64</v>
      </c>
      <c r="I28" s="4"/>
    </row>
    <row r="29" customFormat="false" ht="15" hidden="false" customHeight="false" outlineLevel="0" collapsed="false">
      <c r="A29" s="4" t="s">
        <v>13</v>
      </c>
      <c r="B29" s="4" t="s">
        <v>101</v>
      </c>
      <c r="C29" s="4" t="s">
        <v>198</v>
      </c>
      <c r="D29" s="4" t="s">
        <v>199</v>
      </c>
      <c r="E29" s="4" t="n">
        <v>15</v>
      </c>
      <c r="F29" s="4" t="s">
        <v>200</v>
      </c>
      <c r="G29" s="5" t="s">
        <v>8</v>
      </c>
      <c r="H29" s="4" t="s">
        <v>64</v>
      </c>
      <c r="I29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3" t="s">
        <v>57</v>
      </c>
      <c r="B4" s="3" t="s">
        <v>203</v>
      </c>
      <c r="C4" s="3" t="s">
        <v>4</v>
      </c>
      <c r="D4" s="3" t="s">
        <v>60</v>
      </c>
    </row>
    <row r="5" customFormat="false" ht="15" hidden="false" customHeight="false" outlineLevel="0" collapsed="false">
      <c r="A5" s="4" t="s">
        <v>13</v>
      </c>
      <c r="B5" s="4" t="s">
        <v>204</v>
      </c>
      <c r="C5" s="5" t="s">
        <v>8</v>
      </c>
      <c r="D5" s="4" t="s">
        <v>64</v>
      </c>
    </row>
    <row r="6" customFormat="false" ht="15" hidden="false" customHeight="false" outlineLevel="0" collapsed="false">
      <c r="A6" s="4" t="s">
        <v>13</v>
      </c>
      <c r="B6" s="4" t="s">
        <v>205</v>
      </c>
      <c r="C6" s="5" t="s">
        <v>8</v>
      </c>
      <c r="D6" s="4" t="s">
        <v>64</v>
      </c>
    </row>
    <row r="7" customFormat="false" ht="15" hidden="false" customHeight="false" outlineLevel="0" collapsed="false">
      <c r="A7" s="4" t="s">
        <v>13</v>
      </c>
      <c r="B7" s="4" t="s">
        <v>206</v>
      </c>
      <c r="C7" s="5" t="s">
        <v>8</v>
      </c>
      <c r="D7" s="4" t="s">
        <v>64</v>
      </c>
    </row>
    <row r="8" customFormat="false" ht="15" hidden="false" customHeight="false" outlineLevel="0" collapsed="false">
      <c r="A8" s="4" t="s">
        <v>13</v>
      </c>
      <c r="B8" s="4" t="s">
        <v>207</v>
      </c>
      <c r="C8" s="5" t="s">
        <v>8</v>
      </c>
      <c r="D8" s="4" t="s">
        <v>64</v>
      </c>
    </row>
    <row r="9" customFormat="false" ht="15" hidden="false" customHeight="false" outlineLevel="0" collapsed="false">
      <c r="A9" s="4" t="s">
        <v>13</v>
      </c>
      <c r="B9" s="4" t="s">
        <v>208</v>
      </c>
      <c r="C9" s="5" t="s">
        <v>8</v>
      </c>
      <c r="D9" s="4" t="s">
        <v>64</v>
      </c>
    </row>
    <row r="10" customFormat="false" ht="15" hidden="false" customHeight="false" outlineLevel="0" collapsed="false">
      <c r="A10" s="4" t="s">
        <v>13</v>
      </c>
      <c r="B10" s="4" t="s">
        <v>209</v>
      </c>
      <c r="C10" s="5" t="s">
        <v>8</v>
      </c>
      <c r="D10" s="4" t="s">
        <v>64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5" min="3" style="0" width="24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19.7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4" customFormat="false" ht="23.85" hidden="false" customHeight="false" outlineLevel="0" collapsed="false">
      <c r="A4" s="3" t="s">
        <v>212</v>
      </c>
      <c r="B4" s="3" t="s">
        <v>213</v>
      </c>
      <c r="C4" s="3" t="s">
        <v>30</v>
      </c>
      <c r="D4" s="3" t="s">
        <v>31</v>
      </c>
      <c r="E4" s="3" t="s">
        <v>32</v>
      </c>
      <c r="F4" s="3" t="s">
        <v>4</v>
      </c>
      <c r="G4" s="3" t="s">
        <v>214</v>
      </c>
    </row>
    <row r="5" customFormat="false" ht="15" hidden="false" customHeight="false" outlineLevel="0" collapsed="false">
      <c r="A5" s="15" t="s">
        <v>57</v>
      </c>
      <c r="B5" s="15"/>
      <c r="C5" s="15" t="s">
        <v>13</v>
      </c>
      <c r="D5" s="15" t="s">
        <v>13</v>
      </c>
      <c r="E5" s="15" t="s">
        <v>13</v>
      </c>
      <c r="F5" s="15"/>
      <c r="G5" s="15"/>
    </row>
    <row r="6" customFormat="false" ht="15" hidden="false" customHeight="false" outlineLevel="0" collapsed="false">
      <c r="A6" s="4" t="s">
        <v>215</v>
      </c>
      <c r="B6" s="4" t="s">
        <v>216</v>
      </c>
      <c r="C6" s="16" t="n">
        <v>8</v>
      </c>
      <c r="D6" s="16" t="n">
        <v>8</v>
      </c>
      <c r="E6" s="16" t="n">
        <v>8</v>
      </c>
      <c r="F6" s="5" t="s">
        <v>8</v>
      </c>
      <c r="G6" s="4" t="s">
        <v>217</v>
      </c>
    </row>
    <row r="7" customFormat="false" ht="15" hidden="false" customHeight="false" outlineLevel="0" collapsed="false">
      <c r="A7" s="4" t="s">
        <v>218</v>
      </c>
      <c r="B7" s="4" t="s">
        <v>219</v>
      </c>
      <c r="C7" s="16" t="n">
        <v>1100</v>
      </c>
      <c r="D7" s="16" t="n">
        <v>1100</v>
      </c>
      <c r="E7" s="16" t="n">
        <v>1100</v>
      </c>
      <c r="F7" s="5" t="s">
        <v>8</v>
      </c>
      <c r="G7" s="4" t="s">
        <v>220</v>
      </c>
    </row>
    <row r="8" customFormat="false" ht="15" hidden="false" customHeight="false" outlineLevel="0" collapsed="false">
      <c r="A8" s="4" t="s">
        <v>221</v>
      </c>
      <c r="B8" s="4" t="s">
        <v>216</v>
      </c>
      <c r="C8" s="16" t="n">
        <v>2</v>
      </c>
      <c r="D8" s="16" t="n">
        <v>2</v>
      </c>
      <c r="E8" s="16" t="n">
        <v>2</v>
      </c>
      <c r="F8" s="5" t="s">
        <v>8</v>
      </c>
      <c r="G8" s="4" t="s">
        <v>222</v>
      </c>
    </row>
    <row r="9" customFormat="false" ht="15" hidden="false" customHeight="false" outlineLevel="0" collapsed="false">
      <c r="A9" s="4" t="s">
        <v>223</v>
      </c>
      <c r="B9" s="4" t="s">
        <v>219</v>
      </c>
      <c r="C9" s="16" t="n">
        <v>350</v>
      </c>
      <c r="D9" s="16" t="n">
        <v>350</v>
      </c>
      <c r="E9" s="16" t="n">
        <v>350</v>
      </c>
      <c r="F9" s="13" t="s">
        <v>47</v>
      </c>
      <c r="G9" s="4" t="s">
        <v>224</v>
      </c>
    </row>
    <row r="10" customFormat="false" ht="15" hidden="false" customHeight="false" outlineLevel="0" collapsed="false">
      <c r="A10" s="4" t="s">
        <v>225</v>
      </c>
      <c r="B10" s="4" t="s">
        <v>216</v>
      </c>
      <c r="C10" s="16" t="n">
        <v>32</v>
      </c>
      <c r="D10" s="16" t="n">
        <v>32</v>
      </c>
      <c r="E10" s="16" t="n">
        <v>32</v>
      </c>
      <c r="F10" s="13" t="s">
        <v>47</v>
      </c>
      <c r="G10" s="4" t="s">
        <v>226</v>
      </c>
    </row>
    <row r="11" customFormat="false" ht="15" hidden="false" customHeight="false" outlineLevel="0" collapsed="false">
      <c r="A11" s="4" t="s">
        <v>227</v>
      </c>
      <c r="B11" s="4" t="s">
        <v>219</v>
      </c>
      <c r="C11" s="16" t="n">
        <v>10</v>
      </c>
      <c r="D11" s="16" t="n">
        <v>10</v>
      </c>
      <c r="E11" s="16" t="n">
        <v>10</v>
      </c>
      <c r="F11" s="13" t="s">
        <v>47</v>
      </c>
      <c r="G11" s="4" t="s">
        <v>228</v>
      </c>
    </row>
    <row r="12" customFormat="false" ht="15" hidden="false" customHeight="false" outlineLevel="0" collapsed="false">
      <c r="A12" s="4" t="s">
        <v>229</v>
      </c>
      <c r="B12" s="4" t="s">
        <v>216</v>
      </c>
      <c r="C12" s="16" t="n">
        <v>8</v>
      </c>
      <c r="D12" s="16" t="n">
        <v>8</v>
      </c>
      <c r="E12" s="16" t="n">
        <v>8</v>
      </c>
      <c r="F12" s="13" t="s">
        <v>47</v>
      </c>
      <c r="G12" s="4" t="s">
        <v>230</v>
      </c>
    </row>
    <row r="13" customFormat="false" ht="15" hidden="false" customHeight="false" outlineLevel="0" collapsed="false">
      <c r="A13" s="4" t="s">
        <v>231</v>
      </c>
      <c r="B13" s="4" t="s">
        <v>219</v>
      </c>
      <c r="C13" s="16" t="n">
        <v>25</v>
      </c>
      <c r="D13" s="16" t="n">
        <v>25</v>
      </c>
      <c r="E13" s="16" t="n">
        <v>25</v>
      </c>
      <c r="F13" s="13" t="s">
        <v>47</v>
      </c>
      <c r="G13" s="4" t="s">
        <v>232</v>
      </c>
    </row>
    <row r="14" customFormat="false" ht="15" hidden="false" customHeight="false" outlineLevel="0" collapsed="false">
      <c r="A14" s="4" t="s">
        <v>233</v>
      </c>
      <c r="B14" s="4" t="s">
        <v>216</v>
      </c>
      <c r="C14" s="16" t="n">
        <v>2</v>
      </c>
      <c r="D14" s="16" t="n">
        <v>2</v>
      </c>
      <c r="E14" s="16" t="n">
        <v>2</v>
      </c>
      <c r="F14" s="5" t="s">
        <v>8</v>
      </c>
      <c r="G14" s="4" t="s">
        <v>222</v>
      </c>
    </row>
    <row r="15" customFormat="false" ht="15" hidden="false" customHeight="false" outlineLevel="0" collapsed="false">
      <c r="A15" s="4" t="s">
        <v>234</v>
      </c>
      <c r="B15" s="4" t="s">
        <v>219</v>
      </c>
      <c r="C15" s="16" t="n">
        <v>8</v>
      </c>
      <c r="D15" s="16" t="n">
        <v>8</v>
      </c>
      <c r="E15" s="16" t="n">
        <v>8</v>
      </c>
      <c r="F15" s="13" t="s">
        <v>47</v>
      </c>
      <c r="G15" s="4" t="s">
        <v>235</v>
      </c>
    </row>
    <row r="16" customFormat="false" ht="15" hidden="false" customHeight="false" outlineLevel="0" collapsed="false">
      <c r="A16" s="4" t="s">
        <v>236</v>
      </c>
      <c r="B16" s="4" t="s">
        <v>216</v>
      </c>
      <c r="C16" s="16" t="n">
        <v>2</v>
      </c>
      <c r="D16" s="16" t="n">
        <v>2</v>
      </c>
      <c r="E16" s="16" t="n">
        <v>2</v>
      </c>
      <c r="F16" s="13" t="s">
        <v>47</v>
      </c>
      <c r="G16" s="4" t="s">
        <v>237</v>
      </c>
    </row>
    <row r="17" customFormat="false" ht="15" hidden="false" customHeight="false" outlineLevel="0" collapsed="false">
      <c r="A17" s="4" t="s">
        <v>238</v>
      </c>
      <c r="B17" s="4" t="s">
        <v>219</v>
      </c>
      <c r="C17" s="16" t="n">
        <v>75</v>
      </c>
      <c r="D17" s="16" t="n">
        <v>75</v>
      </c>
      <c r="E17" s="16" t="n">
        <v>75</v>
      </c>
      <c r="F17" s="13" t="s">
        <v>47</v>
      </c>
      <c r="G17" s="4" t="s">
        <v>239</v>
      </c>
    </row>
    <row r="18" customFormat="false" ht="15" hidden="false" customHeight="false" outlineLevel="0" collapsed="false">
      <c r="A18" s="4" t="s">
        <v>240</v>
      </c>
      <c r="B18" s="4" t="s">
        <v>219</v>
      </c>
      <c r="C18" s="16" t="n">
        <v>1000</v>
      </c>
      <c r="D18" s="16" t="n">
        <v>1000</v>
      </c>
      <c r="E18" s="16" t="n">
        <v>1000</v>
      </c>
      <c r="F18" s="13" t="s">
        <v>47</v>
      </c>
      <c r="G18" s="4" t="s">
        <v>241</v>
      </c>
    </row>
    <row r="19" customFormat="false" ht="23.85" hidden="false" customHeight="false" outlineLevel="0" collapsed="false">
      <c r="A19" s="4" t="s">
        <v>242</v>
      </c>
      <c r="B19" s="4" t="s">
        <v>243</v>
      </c>
      <c r="C19" s="17" t="n">
        <v>0.1</v>
      </c>
      <c r="D19" s="17" t="n">
        <v>0.1</v>
      </c>
      <c r="E19" s="17" t="n">
        <v>0.1</v>
      </c>
      <c r="F19" s="13" t="s">
        <v>47</v>
      </c>
      <c r="G19" s="4" t="s">
        <v>235</v>
      </c>
    </row>
    <row r="20" customFormat="false" ht="15" hidden="false" customHeight="false" outlineLevel="0" collapsed="false">
      <c r="A20" s="4" t="s">
        <v>244</v>
      </c>
      <c r="B20" s="4" t="s">
        <v>245</v>
      </c>
      <c r="C20" s="18" t="n">
        <v>0.95</v>
      </c>
      <c r="D20" s="18" t="n">
        <v>0.95</v>
      </c>
      <c r="E20" s="18" t="n">
        <v>0.95</v>
      </c>
      <c r="F20" s="13" t="s">
        <v>47</v>
      </c>
      <c r="G20" s="4" t="s">
        <v>246</v>
      </c>
    </row>
    <row r="21" customFormat="false" ht="15" hidden="false" customHeight="false" outlineLevel="0" collapsed="false">
      <c r="A21" s="4" t="s">
        <v>247</v>
      </c>
      <c r="B21" s="4" t="s">
        <v>219</v>
      </c>
      <c r="C21" s="16" t="n">
        <v>3200</v>
      </c>
      <c r="D21" s="16" t="n">
        <v>3800</v>
      </c>
      <c r="E21" s="16" t="n">
        <v>3200</v>
      </c>
      <c r="F21" s="5" t="s">
        <v>8</v>
      </c>
      <c r="G21" s="4" t="s">
        <v>222</v>
      </c>
    </row>
    <row r="22" customFormat="false" ht="15" hidden="false" customHeight="false" outlineLevel="0" collapsed="false">
      <c r="A22" s="4" t="s">
        <v>248</v>
      </c>
      <c r="B22" s="4" t="s">
        <v>216</v>
      </c>
      <c r="C22" s="16" t="n">
        <v>8</v>
      </c>
      <c r="D22" s="16" t="n">
        <v>8</v>
      </c>
      <c r="E22" s="16" t="n">
        <v>6</v>
      </c>
      <c r="F22" s="5" t="s">
        <v>8</v>
      </c>
      <c r="G22" s="4" t="s">
        <v>249</v>
      </c>
    </row>
    <row r="23" customFormat="false" ht="15" hidden="false" customHeight="false" outlineLevel="0" collapsed="false">
      <c r="A23" s="4" t="s">
        <v>250</v>
      </c>
      <c r="B23" s="4" t="s">
        <v>216</v>
      </c>
      <c r="C23" s="16" t="n">
        <v>1</v>
      </c>
      <c r="D23" s="16" t="n">
        <v>4</v>
      </c>
      <c r="E23" s="16" t="n">
        <v>1</v>
      </c>
      <c r="F23" s="5" t="s">
        <v>8</v>
      </c>
      <c r="G23" s="4" t="s">
        <v>251</v>
      </c>
    </row>
    <row r="24" customFormat="false" ht="15" hidden="false" customHeight="false" outlineLevel="0" collapsed="false">
      <c r="A24" s="4" t="s">
        <v>252</v>
      </c>
      <c r="B24" s="4" t="s">
        <v>216</v>
      </c>
      <c r="C24" s="16" t="n">
        <v>0</v>
      </c>
      <c r="D24" s="16" t="n">
        <v>0</v>
      </c>
      <c r="E24" s="16" t="n">
        <v>0</v>
      </c>
      <c r="F24" s="5" t="s">
        <v>8</v>
      </c>
      <c r="G24" s="4" t="s">
        <v>253</v>
      </c>
    </row>
    <row r="25" customFormat="false" ht="15" hidden="false" customHeight="false" outlineLevel="0" collapsed="false">
      <c r="A25" s="4" t="s">
        <v>254</v>
      </c>
      <c r="B25" s="4" t="s">
        <v>255</v>
      </c>
      <c r="C25" s="16" t="n">
        <v>30</v>
      </c>
      <c r="D25" s="16" t="n">
        <v>30</v>
      </c>
      <c r="E25" s="16" t="n">
        <v>30</v>
      </c>
      <c r="F25" s="13" t="s">
        <v>47</v>
      </c>
      <c r="G25" s="4" t="s">
        <v>256</v>
      </c>
    </row>
    <row r="26" customFormat="false" ht="15" hidden="false" customHeight="false" outlineLevel="0" collapsed="false">
      <c r="A26" s="4" t="s">
        <v>257</v>
      </c>
      <c r="B26" s="4" t="s">
        <v>258</v>
      </c>
      <c r="C26" s="16" t="n">
        <v>8</v>
      </c>
      <c r="D26" s="16" t="n">
        <v>8</v>
      </c>
      <c r="E26" s="16" t="n">
        <v>8</v>
      </c>
      <c r="F26" s="5" t="s">
        <v>8</v>
      </c>
      <c r="G26" s="4" t="s">
        <v>222</v>
      </c>
    </row>
    <row r="27" customFormat="false" ht="15" hidden="false" customHeight="false" outlineLevel="0" collapsed="false">
      <c r="A27" s="4" t="s">
        <v>259</v>
      </c>
      <c r="B27" s="4" t="s">
        <v>258</v>
      </c>
      <c r="C27" s="16" t="n">
        <v>38</v>
      </c>
      <c r="D27" s="16" t="n">
        <v>38</v>
      </c>
      <c r="E27" s="16" t="n">
        <v>38</v>
      </c>
      <c r="F27" s="13" t="s">
        <v>47</v>
      </c>
      <c r="G27" s="4" t="s">
        <v>260</v>
      </c>
    </row>
    <row r="29" customFormat="false" ht="15" hidden="false" customHeight="false" outlineLevel="0" collapsed="false">
      <c r="A29" s="9" t="s">
        <v>261</v>
      </c>
      <c r="B29" s="10"/>
      <c r="C29" s="10"/>
      <c r="D29" s="10"/>
      <c r="E29" s="10"/>
      <c r="F29" s="10"/>
      <c r="G29" s="10"/>
    </row>
    <row r="30" customFormat="false" ht="23.85" hidden="false" customHeight="false" outlineLevel="0" collapsed="false">
      <c r="A30" s="3" t="s">
        <v>262</v>
      </c>
      <c r="B30" s="3" t="s">
        <v>213</v>
      </c>
      <c r="C30" s="3" t="s">
        <v>30</v>
      </c>
      <c r="D30" s="3" t="s">
        <v>31</v>
      </c>
      <c r="E30" s="3" t="s">
        <v>32</v>
      </c>
      <c r="F30" s="3" t="s">
        <v>4</v>
      </c>
      <c r="G30" s="3" t="s">
        <v>263</v>
      </c>
    </row>
    <row r="31" customFormat="false" ht="15" hidden="false" customHeight="false" outlineLevel="0" collapsed="false">
      <c r="A31" s="4" t="s">
        <v>264</v>
      </c>
      <c r="B31" s="4" t="s">
        <v>219</v>
      </c>
      <c r="C31" s="11" t="n">
        <f aca="false">C6*C7</f>
        <v>8800</v>
      </c>
      <c r="D31" s="11" t="n">
        <f aca="false">D6*D7</f>
        <v>8800</v>
      </c>
      <c r="E31" s="11" t="n">
        <f aca="false">E6*E7</f>
        <v>8800</v>
      </c>
      <c r="F31" s="6" t="s">
        <v>11</v>
      </c>
      <c r="G31" s="4" t="s">
        <v>265</v>
      </c>
    </row>
    <row r="32" customFormat="false" ht="15" hidden="false" customHeight="false" outlineLevel="0" collapsed="false">
      <c r="A32" s="4" t="s">
        <v>266</v>
      </c>
      <c r="B32" s="4" t="s">
        <v>219</v>
      </c>
      <c r="C32" s="11" t="n">
        <f aca="false">C8*C9</f>
        <v>700</v>
      </c>
      <c r="D32" s="11" t="n">
        <f aca="false">D8*D9</f>
        <v>700</v>
      </c>
      <c r="E32" s="11" t="n">
        <f aca="false">E8*E9</f>
        <v>700</v>
      </c>
      <c r="F32" s="6" t="s">
        <v>11</v>
      </c>
      <c r="G32" s="4" t="s">
        <v>267</v>
      </c>
    </row>
    <row r="33" customFormat="false" ht="15" hidden="false" customHeight="false" outlineLevel="0" collapsed="false">
      <c r="A33" s="4" t="s">
        <v>268</v>
      </c>
      <c r="B33" s="4" t="s">
        <v>219</v>
      </c>
      <c r="C33" s="11" t="n">
        <f aca="false">C10*C11</f>
        <v>320</v>
      </c>
      <c r="D33" s="11" t="n">
        <f aca="false">D10*D11</f>
        <v>320</v>
      </c>
      <c r="E33" s="11" t="n">
        <f aca="false">E10*E11</f>
        <v>320</v>
      </c>
      <c r="F33" s="6" t="s">
        <v>11</v>
      </c>
      <c r="G33" s="4" t="s">
        <v>269</v>
      </c>
    </row>
    <row r="34" customFormat="false" ht="15" hidden="false" customHeight="false" outlineLevel="0" collapsed="false">
      <c r="A34" s="4" t="s">
        <v>270</v>
      </c>
      <c r="B34" s="4" t="s">
        <v>219</v>
      </c>
      <c r="C34" s="11" t="n">
        <f aca="false">C12*C13+C14*C15</f>
        <v>216</v>
      </c>
      <c r="D34" s="11" t="n">
        <f aca="false">D12*D13+D14*D15</f>
        <v>216</v>
      </c>
      <c r="E34" s="11" t="n">
        <f aca="false">E12*E13+E14*E15</f>
        <v>216</v>
      </c>
      <c r="F34" s="6" t="s">
        <v>11</v>
      </c>
      <c r="G34" s="4" t="s">
        <v>271</v>
      </c>
    </row>
    <row r="35" customFormat="false" ht="15" hidden="false" customHeight="false" outlineLevel="0" collapsed="false">
      <c r="A35" s="4" t="s">
        <v>272</v>
      </c>
      <c r="B35" s="4" t="s">
        <v>219</v>
      </c>
      <c r="C35" s="11" t="n">
        <f aca="false">C16*C17</f>
        <v>150</v>
      </c>
      <c r="D35" s="11" t="n">
        <f aca="false">D16*D17</f>
        <v>150</v>
      </c>
      <c r="E35" s="11" t="n">
        <f aca="false">E16*E17</f>
        <v>150</v>
      </c>
      <c r="F35" s="6" t="s">
        <v>11</v>
      </c>
      <c r="G35" s="4" t="s">
        <v>273</v>
      </c>
    </row>
    <row r="36" customFormat="false" ht="15" hidden="false" customHeight="false" outlineLevel="0" collapsed="false">
      <c r="A36" s="4" t="s">
        <v>274</v>
      </c>
      <c r="B36" s="4" t="s">
        <v>219</v>
      </c>
      <c r="C36" s="11" t="n">
        <f aca="false">C18</f>
        <v>1000</v>
      </c>
      <c r="D36" s="11" t="n">
        <f aca="false">D18</f>
        <v>1000</v>
      </c>
      <c r="E36" s="11" t="n">
        <f aca="false">E18</f>
        <v>1000</v>
      </c>
      <c r="F36" s="6" t="s">
        <v>11</v>
      </c>
      <c r="G36" s="4" t="s">
        <v>275</v>
      </c>
    </row>
    <row r="37" customFormat="false" ht="15" hidden="false" customHeight="false" outlineLevel="0" collapsed="false">
      <c r="A37" s="4" t="s">
        <v>276</v>
      </c>
      <c r="B37" s="4" t="s">
        <v>219</v>
      </c>
      <c r="C37" s="11" t="n">
        <f aca="false">SUM(C31:C36)</f>
        <v>11186</v>
      </c>
      <c r="D37" s="11" t="n">
        <f aca="false">SUM(D31:D36)</f>
        <v>11186</v>
      </c>
      <c r="E37" s="11" t="n">
        <f aca="false">SUM(E31:E36)</f>
        <v>11186</v>
      </c>
      <c r="F37" s="6" t="s">
        <v>11</v>
      </c>
      <c r="G37" s="4" t="s">
        <v>277</v>
      </c>
    </row>
    <row r="38" customFormat="false" ht="15" hidden="false" customHeight="false" outlineLevel="0" collapsed="false">
      <c r="A38" s="4" t="s">
        <v>278</v>
      </c>
      <c r="B38" s="4" t="s">
        <v>219</v>
      </c>
      <c r="C38" s="11" t="n">
        <f aca="false">C37*C19</f>
        <v>1118.6</v>
      </c>
      <c r="D38" s="11" t="n">
        <f aca="false">D37*D19</f>
        <v>1118.6</v>
      </c>
      <c r="E38" s="11" t="n">
        <f aca="false">E37*E19</f>
        <v>1118.6</v>
      </c>
      <c r="F38" s="6" t="s">
        <v>11</v>
      </c>
      <c r="G38" s="4" t="s">
        <v>279</v>
      </c>
    </row>
    <row r="39" customFormat="false" ht="15" hidden="false" customHeight="false" outlineLevel="0" collapsed="false">
      <c r="A39" s="4" t="s">
        <v>280</v>
      </c>
      <c r="B39" s="4" t="s">
        <v>219</v>
      </c>
      <c r="C39" s="11" t="n">
        <f aca="false">C37+C38</f>
        <v>12304.6</v>
      </c>
      <c r="D39" s="11" t="n">
        <f aca="false">D37+D38</f>
        <v>12304.6</v>
      </c>
      <c r="E39" s="11" t="n">
        <f aca="false">E37+E38</f>
        <v>12304.6</v>
      </c>
      <c r="F39" s="6" t="s">
        <v>11</v>
      </c>
      <c r="G39" s="4" t="s">
        <v>281</v>
      </c>
    </row>
    <row r="40" customFormat="false" ht="15" hidden="false" customHeight="false" outlineLevel="0" collapsed="false">
      <c r="A40" s="4" t="s">
        <v>282</v>
      </c>
      <c r="B40" s="4" t="s">
        <v>283</v>
      </c>
      <c r="C40" s="19" t="n">
        <f aca="false">C31/C39</f>
        <v>0.715179688896835</v>
      </c>
      <c r="D40" s="19" t="n">
        <f aca="false">D31/D39</f>
        <v>0.715179688896835</v>
      </c>
      <c r="E40" s="19" t="n">
        <f aca="false">E31/E39</f>
        <v>0.715179688896835</v>
      </c>
      <c r="F40" s="6" t="s">
        <v>11</v>
      </c>
      <c r="G40" s="4" t="s">
        <v>284</v>
      </c>
    </row>
    <row r="41" customFormat="false" ht="15" hidden="false" customHeight="false" outlineLevel="0" collapsed="false">
      <c r="A41" s="4" t="s">
        <v>285</v>
      </c>
      <c r="B41" s="4" t="s">
        <v>219</v>
      </c>
      <c r="C41" s="11" t="n">
        <f aca="false">C39/C20</f>
        <v>12952.2105263158</v>
      </c>
      <c r="D41" s="11" t="n">
        <f aca="false">D39/D20</f>
        <v>12952.2105263158</v>
      </c>
      <c r="E41" s="11" t="n">
        <f aca="false">E39/E20</f>
        <v>12952.2105263158</v>
      </c>
      <c r="F41" s="6" t="s">
        <v>11</v>
      </c>
      <c r="G41" s="4" t="s">
        <v>286</v>
      </c>
    </row>
    <row r="42" customFormat="false" ht="15" hidden="false" customHeight="false" outlineLevel="0" collapsed="false">
      <c r="A42" s="4" t="s">
        <v>287</v>
      </c>
      <c r="B42" s="4" t="s">
        <v>219</v>
      </c>
      <c r="C42" s="11" t="n">
        <f aca="false">IF(C21=0,"n/a",(C22-C23)*C21)</f>
        <v>22400</v>
      </c>
      <c r="D42" s="11" t="n">
        <f aca="false">IF(D21=0,"n/a",(D22-D23)*D21)</f>
        <v>15200</v>
      </c>
      <c r="E42" s="11" t="n">
        <f aca="false">IF(E21=0,"n/a",(E22-E23)*E21)</f>
        <v>16000</v>
      </c>
      <c r="F42" s="6" t="s">
        <v>11</v>
      </c>
      <c r="G42" s="4" t="s">
        <v>288</v>
      </c>
    </row>
    <row r="43" customFormat="false" ht="15" hidden="false" customHeight="false" outlineLevel="0" collapsed="false">
      <c r="A43" s="4" t="s">
        <v>289</v>
      </c>
      <c r="B43" s="4" t="s">
        <v>219</v>
      </c>
      <c r="C43" s="11" t="n">
        <f aca="false">IF(ISNUMBER(C42),C42-C39,"n/a")</f>
        <v>10095.4</v>
      </c>
      <c r="D43" s="11" t="n">
        <f aca="false">IF(ISNUMBER(D42),D42-D39,"n/a")</f>
        <v>2895.4</v>
      </c>
      <c r="E43" s="11" t="n">
        <f aca="false">IF(ISNUMBER(E42),E42-E39,"n/a")</f>
        <v>3695.4</v>
      </c>
      <c r="F43" s="6" t="s">
        <v>11</v>
      </c>
      <c r="G43" s="4" t="s">
        <v>290</v>
      </c>
    </row>
    <row r="44" customFormat="false" ht="15" hidden="false" customHeight="false" outlineLevel="0" collapsed="false">
      <c r="A44" s="4" t="s">
        <v>291</v>
      </c>
      <c r="B44" s="4" t="s">
        <v>283</v>
      </c>
      <c r="C44" s="19" t="n">
        <f aca="false">IF(ISNUMBER(C42),C39/C42,"n/a")</f>
        <v>0.5493125</v>
      </c>
      <c r="D44" s="19" t="n">
        <f aca="false">IF(ISNUMBER(D42),D39/D42,"n/a")</f>
        <v>0.809513157894737</v>
      </c>
      <c r="E44" s="19" t="n">
        <f aca="false">IF(ISNUMBER(E42),E39/E42,"n/a")</f>
        <v>0.7690375</v>
      </c>
      <c r="F44" s="6" t="s">
        <v>11</v>
      </c>
      <c r="G44" s="4" t="s">
        <v>292</v>
      </c>
    </row>
    <row r="45" customFormat="false" ht="15" hidden="false" customHeight="false" outlineLevel="0" collapsed="false">
      <c r="A45" s="4" t="s">
        <v>293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20" t="str">
        <f aca="false">IF(ISNUMBER(E42),IF(E39&lt;=E42,"OK within redundant capacity","EXCEEDS redundant capacity"),"PSU data not published")</f>
        <v>OK within redundant capacity</v>
      </c>
      <c r="F45" s="6" t="s">
        <v>11</v>
      </c>
      <c r="G45" s="4"/>
    </row>
    <row r="46" customFormat="false" ht="15" hidden="false" customHeight="false" outlineLevel="0" collapsed="false">
      <c r="A46" s="4" t="s">
        <v>294</v>
      </c>
      <c r="B46" s="4" t="s">
        <v>219</v>
      </c>
      <c r="C46" s="11" t="str">
        <f aca="false">IF(C24&gt;0,C24*C21,"n/a")</f>
        <v>n/a</v>
      </c>
      <c r="D46" s="11" t="str">
        <f aca="false">IF(D24&gt;0,D24*D21,"n/a")</f>
        <v>n/a</v>
      </c>
      <c r="E46" s="11" t="str">
        <f aca="false">IF(E24&gt;0,E24*E21,"n/a")</f>
        <v>n/a</v>
      </c>
      <c r="F46" s="6" t="s">
        <v>11</v>
      </c>
      <c r="G46" s="4" t="s">
        <v>295</v>
      </c>
    </row>
    <row r="47" customFormat="false" ht="15" hidden="false" customHeight="false" outlineLevel="0" collapsed="false">
      <c r="A47" s="4" t="s">
        <v>296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20" t="str">
        <f aca="false">IF(E24&gt;0,IF(E31&lt;=E46,"OK","EXCEEDS"),"n/a")</f>
        <v>n/a</v>
      </c>
      <c r="F47" s="6" t="s">
        <v>11</v>
      </c>
      <c r="G47" s="4" t="s">
        <v>297</v>
      </c>
    </row>
    <row r="48" customFormat="false" ht="15" hidden="false" customHeight="false" outlineLevel="0" collapsed="false">
      <c r="A48" s="4" t="s">
        <v>298</v>
      </c>
      <c r="B48" s="4" t="s">
        <v>299</v>
      </c>
      <c r="C48" s="11" t="n">
        <f aca="false">C41*3.412</f>
        <v>44192.9423157895</v>
      </c>
      <c r="D48" s="11" t="n">
        <f aca="false">D41*3.412</f>
        <v>44192.9423157895</v>
      </c>
      <c r="E48" s="11" t="n">
        <f aca="false">E41*3.412</f>
        <v>44192.9423157895</v>
      </c>
      <c r="F48" s="6" t="s">
        <v>11</v>
      </c>
      <c r="G48" s="4" t="s">
        <v>300</v>
      </c>
    </row>
    <row r="49" customFormat="false" ht="15" hidden="false" customHeight="false" outlineLevel="0" collapsed="false">
      <c r="A49" s="4" t="s">
        <v>301</v>
      </c>
      <c r="B49" s="4" t="s">
        <v>255</v>
      </c>
      <c r="C49" s="21" t="n">
        <f aca="false">C41/C6/1000</f>
        <v>1.61902631578947</v>
      </c>
      <c r="D49" s="21" t="n">
        <f aca="false">D41/D6/1000</f>
        <v>1.61902631578947</v>
      </c>
      <c r="E49" s="21" t="n">
        <f aca="false">E41/E6/1000</f>
        <v>1.61902631578947</v>
      </c>
      <c r="F49" s="6" t="s">
        <v>11</v>
      </c>
      <c r="G49" s="4" t="s">
        <v>302</v>
      </c>
    </row>
    <row r="50" customFormat="false" ht="15" hidden="false" customHeight="false" outlineLevel="0" collapsed="false">
      <c r="A50" s="4" t="s">
        <v>303</v>
      </c>
      <c r="B50" s="4" t="s">
        <v>216</v>
      </c>
      <c r="C50" s="22" t="n">
        <f aca="false">INT(C25*1000/C41)</f>
        <v>2</v>
      </c>
      <c r="D50" s="22" t="n">
        <f aca="false">INT(D25*1000/D41)</f>
        <v>2</v>
      </c>
      <c r="E50" s="22" t="n">
        <f aca="false">INT(E25*1000/E41)</f>
        <v>2</v>
      </c>
      <c r="F50" s="6" t="s">
        <v>11</v>
      </c>
      <c r="G50" s="4" t="s">
        <v>304</v>
      </c>
    </row>
    <row r="51" customFormat="false" ht="15" hidden="false" customHeight="false" outlineLevel="0" collapsed="false">
      <c r="A51" s="4" t="s">
        <v>305</v>
      </c>
      <c r="B51" s="4" t="s">
        <v>216</v>
      </c>
      <c r="C51" s="22" t="n">
        <f aca="false">INT(C27/C26)</f>
        <v>4</v>
      </c>
      <c r="D51" s="22" t="n">
        <f aca="false">INT(D27/D26)</f>
        <v>4</v>
      </c>
      <c r="E51" s="22" t="n">
        <f aca="false">INT(E27/E26)</f>
        <v>4</v>
      </c>
      <c r="F51" s="6" t="s">
        <v>11</v>
      </c>
      <c r="G51" s="4" t="s">
        <v>306</v>
      </c>
    </row>
    <row r="52" customFormat="false" ht="15" hidden="false" customHeight="false" outlineLevel="0" collapsed="false">
      <c r="A52" s="4" t="s">
        <v>307</v>
      </c>
      <c r="B52" s="4" t="s">
        <v>216</v>
      </c>
      <c r="C52" s="22" t="n">
        <f aca="false">MIN(C50,C51)</f>
        <v>2</v>
      </c>
      <c r="D52" s="22" t="n">
        <f aca="false">MIN(D50,D51)</f>
        <v>2</v>
      </c>
      <c r="E52" s="22" t="n">
        <f aca="false">MIN(E50,E51)</f>
        <v>2</v>
      </c>
      <c r="F52" s="6" t="s">
        <v>11</v>
      </c>
      <c r="G52" s="4" t="s">
        <v>308</v>
      </c>
    </row>
    <row r="53" customFormat="false" ht="15" hidden="false" customHeight="false" outlineLevel="0" collapsed="false">
      <c r="A53" s="4" t="s">
        <v>309</v>
      </c>
      <c r="B53" s="4" t="s">
        <v>216</v>
      </c>
      <c r="C53" s="22" t="n">
        <f aca="false">C52*C6</f>
        <v>16</v>
      </c>
      <c r="D53" s="22" t="n">
        <f aca="false">D52*D6</f>
        <v>16</v>
      </c>
      <c r="E53" s="22" t="n">
        <f aca="false">E52*E6</f>
        <v>16</v>
      </c>
      <c r="F53" s="6" t="s">
        <v>11</v>
      </c>
      <c r="G53" s="4" t="s">
        <v>310</v>
      </c>
    </row>
    <row r="54" customFormat="false" ht="15" hidden="false" customHeight="false" outlineLevel="0" collapsed="false">
      <c r="A54" s="4" t="s">
        <v>311</v>
      </c>
      <c r="B54" s="4" t="s">
        <v>255</v>
      </c>
      <c r="C54" s="23" t="n">
        <f aca="false">C52*C41/1000</f>
        <v>25.9044210526316</v>
      </c>
      <c r="D54" s="23" t="n">
        <f aca="false">D52*D41/1000</f>
        <v>25.9044210526316</v>
      </c>
      <c r="E54" s="23" t="n">
        <f aca="false">E52*E41/1000</f>
        <v>25.9044210526316</v>
      </c>
      <c r="F54" s="6" t="s">
        <v>11</v>
      </c>
      <c r="G54" s="4" t="s">
        <v>312</v>
      </c>
    </row>
    <row r="56" customFormat="false" ht="39" hidden="false" customHeight="true" outlineLevel="0" collapsed="false">
      <c r="A56" s="24" t="s">
        <v>313</v>
      </c>
      <c r="B56" s="24"/>
      <c r="C56" s="24"/>
      <c r="D56" s="24"/>
      <c r="E56" s="24"/>
      <c r="F56" s="24"/>
      <c r="G56" s="24"/>
    </row>
  </sheetData>
  <mergeCells count="1">
    <mergeCell ref="A56:G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15" hidden="false" customHeight="false" outlineLevel="0" collapsed="false">
      <c r="A4" s="9" t="s">
        <v>316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57</v>
      </c>
      <c r="B5" s="3" t="s">
        <v>317</v>
      </c>
      <c r="C5" s="3" t="s">
        <v>318</v>
      </c>
      <c r="D5" s="3" t="s">
        <v>9</v>
      </c>
      <c r="E5" s="3" t="s">
        <v>319</v>
      </c>
      <c r="F5" s="3" t="s">
        <v>320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321</v>
      </c>
      <c r="C6" s="4" t="s">
        <v>322</v>
      </c>
      <c r="D6" s="4" t="s">
        <v>323</v>
      </c>
      <c r="E6" s="4" t="s">
        <v>324</v>
      </c>
      <c r="F6" s="4" t="s">
        <v>325</v>
      </c>
      <c r="G6" s="4" t="s">
        <v>326</v>
      </c>
      <c r="H6" s="5" t="s">
        <v>8</v>
      </c>
    </row>
    <row r="7" customFormat="false" ht="15" hidden="false" customHeight="false" outlineLevel="0" collapsed="false">
      <c r="A7" s="4" t="s">
        <v>13</v>
      </c>
      <c r="B7" s="4" t="s">
        <v>327</v>
      </c>
      <c r="C7" s="4" t="s">
        <v>322</v>
      </c>
      <c r="D7" s="4" t="s">
        <v>323</v>
      </c>
      <c r="E7" s="4" t="s">
        <v>328</v>
      </c>
      <c r="F7" s="4" t="s">
        <v>329</v>
      </c>
      <c r="G7" s="4" t="s">
        <v>330</v>
      </c>
      <c r="H7" s="5" t="s">
        <v>8</v>
      </c>
    </row>
    <row r="8" customFormat="false" ht="15" hidden="false" customHeight="false" outlineLevel="0" collapsed="false">
      <c r="A8" s="4" t="s">
        <v>13</v>
      </c>
      <c r="B8" s="4" t="s">
        <v>331</v>
      </c>
      <c r="C8" s="4" t="s">
        <v>322</v>
      </c>
      <c r="D8" s="4" t="s">
        <v>332</v>
      </c>
      <c r="E8" s="4" t="s">
        <v>333</v>
      </c>
      <c r="F8" s="4" t="s">
        <v>334</v>
      </c>
      <c r="G8" s="4" t="s">
        <v>335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336</v>
      </c>
      <c r="C9" s="4" t="s">
        <v>322</v>
      </c>
      <c r="D9" s="4" t="s">
        <v>332</v>
      </c>
      <c r="E9" s="4" t="s">
        <v>337</v>
      </c>
      <c r="F9" s="4" t="s">
        <v>338</v>
      </c>
      <c r="G9" s="4" t="s">
        <v>326</v>
      </c>
      <c r="H9" s="5" t="s">
        <v>8</v>
      </c>
    </row>
    <row r="10" customFormat="false" ht="15" hidden="false" customHeight="false" outlineLevel="0" collapsed="false">
      <c r="A10" s="4" t="s">
        <v>13</v>
      </c>
      <c r="B10" s="4" t="s">
        <v>339</v>
      </c>
      <c r="C10" s="4" t="s">
        <v>322</v>
      </c>
      <c r="D10" s="4" t="s">
        <v>340</v>
      </c>
      <c r="E10" s="4" t="s">
        <v>341</v>
      </c>
      <c r="F10" s="4" t="s">
        <v>334</v>
      </c>
      <c r="G10" s="4" t="s">
        <v>335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342</v>
      </c>
      <c r="C11" s="4" t="s">
        <v>322</v>
      </c>
      <c r="D11" s="4" t="s">
        <v>340</v>
      </c>
      <c r="E11" s="4" t="s">
        <v>343</v>
      </c>
      <c r="F11" s="4" t="s">
        <v>338</v>
      </c>
      <c r="G11" s="4" t="s">
        <v>326</v>
      </c>
      <c r="H11" s="5" t="s">
        <v>8</v>
      </c>
    </row>
    <row r="12" customFormat="false" ht="15" hidden="false" customHeight="false" outlineLevel="0" collapsed="false">
      <c r="A12" s="4" t="s">
        <v>13</v>
      </c>
      <c r="B12" s="4" t="s">
        <v>344</v>
      </c>
      <c r="C12" s="4" t="s">
        <v>345</v>
      </c>
      <c r="D12" s="4" t="s">
        <v>323</v>
      </c>
      <c r="E12" s="4" t="s">
        <v>324</v>
      </c>
      <c r="F12" s="4" t="s">
        <v>325</v>
      </c>
      <c r="G12" s="4" t="s">
        <v>326</v>
      </c>
      <c r="H12" s="5" t="s">
        <v>8</v>
      </c>
    </row>
    <row r="13" customFormat="false" ht="15" hidden="false" customHeight="false" outlineLevel="0" collapsed="false">
      <c r="A13" s="4" t="s">
        <v>13</v>
      </c>
      <c r="B13" s="4" t="s">
        <v>346</v>
      </c>
      <c r="C13" s="4" t="s">
        <v>345</v>
      </c>
      <c r="D13" s="4" t="s">
        <v>323</v>
      </c>
      <c r="E13" s="4" t="s">
        <v>328</v>
      </c>
      <c r="F13" s="4" t="s">
        <v>329</v>
      </c>
      <c r="G13" s="4" t="s">
        <v>330</v>
      </c>
      <c r="H13" s="5" t="s">
        <v>8</v>
      </c>
    </row>
    <row r="14" customFormat="false" ht="15" hidden="false" customHeight="false" outlineLevel="0" collapsed="false">
      <c r="A14" s="4" t="s">
        <v>13</v>
      </c>
      <c r="B14" s="4" t="s">
        <v>347</v>
      </c>
      <c r="C14" s="4" t="s">
        <v>345</v>
      </c>
      <c r="D14" s="4" t="s">
        <v>332</v>
      </c>
      <c r="E14" s="4" t="s">
        <v>333</v>
      </c>
      <c r="F14" s="4" t="s">
        <v>334</v>
      </c>
      <c r="G14" s="4" t="s">
        <v>335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348</v>
      </c>
      <c r="C15" s="4" t="s">
        <v>345</v>
      </c>
      <c r="D15" s="4" t="s">
        <v>332</v>
      </c>
      <c r="E15" s="4" t="s">
        <v>337</v>
      </c>
      <c r="F15" s="4" t="s">
        <v>338</v>
      </c>
      <c r="G15" s="4" t="s">
        <v>326</v>
      </c>
      <c r="H15" s="5" t="s">
        <v>8</v>
      </c>
    </row>
    <row r="16" customFormat="false" ht="15" hidden="false" customHeight="false" outlineLevel="0" collapsed="false">
      <c r="A16" s="4" t="s">
        <v>13</v>
      </c>
      <c r="B16" s="4" t="s">
        <v>349</v>
      </c>
      <c r="C16" s="4" t="s">
        <v>345</v>
      </c>
      <c r="D16" s="4" t="s">
        <v>340</v>
      </c>
      <c r="E16" s="4" t="s">
        <v>341</v>
      </c>
      <c r="F16" s="4" t="s">
        <v>334</v>
      </c>
      <c r="G16" s="4" t="s">
        <v>335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350</v>
      </c>
      <c r="C17" s="4" t="s">
        <v>345</v>
      </c>
      <c r="D17" s="4" t="s">
        <v>340</v>
      </c>
      <c r="E17" s="4" t="s">
        <v>343</v>
      </c>
      <c r="F17" s="4" t="s">
        <v>338</v>
      </c>
      <c r="G17" s="4" t="s">
        <v>326</v>
      </c>
      <c r="H17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351</v>
      </c>
    </row>
    <row r="2" customFormat="false" ht="15" hidden="false" customHeight="false" outlineLevel="0" collapsed="false">
      <c r="A2" s="2" t="s">
        <v>352</v>
      </c>
    </row>
    <row r="4" customFormat="false" ht="15" hidden="false" customHeight="false" outlineLevel="0" collapsed="false">
      <c r="A4" s="3" t="s">
        <v>353</v>
      </c>
      <c r="B4" s="3" t="s">
        <v>354</v>
      </c>
      <c r="C4" s="3" t="s">
        <v>355</v>
      </c>
      <c r="D4" s="3" t="s">
        <v>356</v>
      </c>
    </row>
    <row r="5" customFormat="false" ht="23.85" hidden="false" customHeight="false" outlineLevel="0" collapsed="false">
      <c r="A5" s="4" t="n">
        <v>1</v>
      </c>
      <c r="B5" s="4" t="s">
        <v>357</v>
      </c>
      <c r="C5" s="4" t="s">
        <v>358</v>
      </c>
      <c r="D5" s="4" t="s">
        <v>359</v>
      </c>
    </row>
    <row r="6" customFormat="false" ht="15" hidden="false" customHeight="false" outlineLevel="0" collapsed="false">
      <c r="A6" s="4" t="n">
        <v>2</v>
      </c>
      <c r="B6" s="4" t="s">
        <v>360</v>
      </c>
      <c r="C6" s="4" t="s">
        <v>361</v>
      </c>
      <c r="D6" s="4" t="s">
        <v>362</v>
      </c>
    </row>
    <row r="7" customFormat="false" ht="35.05" hidden="false" customHeight="false" outlineLevel="0" collapsed="false">
      <c r="A7" s="4" t="n">
        <v>3</v>
      </c>
      <c r="B7" s="4" t="s">
        <v>363</v>
      </c>
      <c r="C7" s="4" t="s">
        <v>364</v>
      </c>
      <c r="D7" s="4" t="s">
        <v>365</v>
      </c>
    </row>
    <row r="8" customFormat="false" ht="23.85" hidden="false" customHeight="false" outlineLevel="0" collapsed="false">
      <c r="A8" s="4" t="n">
        <v>4</v>
      </c>
      <c r="B8" s="4" t="s">
        <v>366</v>
      </c>
      <c r="C8" s="4" t="s">
        <v>367</v>
      </c>
      <c r="D8" s="4" t="s">
        <v>368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369</v>
      </c>
    </row>
    <row r="2" customFormat="false" ht="15" hidden="false" customHeight="false" outlineLevel="0" collapsed="false">
      <c r="A2" s="2" t="s">
        <v>370</v>
      </c>
    </row>
    <row r="4" customFormat="false" ht="15" hidden="false" customHeight="false" outlineLevel="0" collapsed="false">
      <c r="A4" s="3" t="s">
        <v>371</v>
      </c>
      <c r="B4" s="3" t="s">
        <v>5</v>
      </c>
      <c r="C4" s="3" t="s">
        <v>372</v>
      </c>
      <c r="D4" s="3" t="s">
        <v>373</v>
      </c>
    </row>
    <row r="5" customFormat="false" ht="15" hidden="false" customHeight="false" outlineLevel="0" collapsed="false">
      <c r="A5" s="4" t="s">
        <v>64</v>
      </c>
      <c r="B5" s="4" t="s">
        <v>374</v>
      </c>
      <c r="C5" s="4" t="s">
        <v>375</v>
      </c>
      <c r="D5" s="5" t="s">
        <v>8</v>
      </c>
    </row>
    <row r="6" customFormat="false" ht="23.85" hidden="false" customHeight="false" outlineLevel="0" collapsed="false">
      <c r="A6" s="4" t="s">
        <v>20</v>
      </c>
      <c r="B6" s="4" t="s">
        <v>376</v>
      </c>
      <c r="C6" s="4" t="s">
        <v>377</v>
      </c>
      <c r="D6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15" hidden="false" customHeight="false" outlineLevel="0" collapsed="false">
      <c r="A4" s="25" t="s">
        <v>380</v>
      </c>
    </row>
    <row r="5" customFormat="false" ht="15" hidden="false" customHeight="false" outlineLevel="0" collapsed="false">
      <c r="A5" s="25" t="s">
        <v>381</v>
      </c>
    </row>
    <row r="6" customFormat="false" ht="15" hidden="false" customHeight="false" outlineLevel="0" collapsed="false">
      <c r="A6" s="25" t="s">
        <v>382</v>
      </c>
    </row>
    <row r="7" customFormat="false" ht="15" hidden="false" customHeight="false" outlineLevel="0" collapsed="false">
      <c r="A7" s="25" t="s">
        <v>383</v>
      </c>
    </row>
    <row r="8" customFormat="false" ht="15" hidden="false" customHeight="false" outlineLevel="0" collapsed="false">
      <c r="A8" s="25" t="s">
        <v>384</v>
      </c>
    </row>
    <row r="9" customFormat="false" ht="15" hidden="false" customHeight="false" outlineLevel="0" collapsed="false">
      <c r="A9" s="25" t="s">
        <v>385</v>
      </c>
    </row>
    <row r="10" customFormat="false" ht="15" hidden="false" customHeight="false" outlineLevel="0" collapsed="false">
      <c r="A10" s="25" t="s">
        <v>386</v>
      </c>
    </row>
    <row r="11" customFormat="false" ht="15" hidden="false" customHeight="false" outlineLevel="0" collapsed="false">
      <c r="A11" s="25" t="s">
        <v>387</v>
      </c>
    </row>
    <row r="12" customFormat="false" ht="15" hidden="false" customHeight="false" outlineLevel="0" collapsed="false">
      <c r="A12" s="25" t="s">
        <v>388</v>
      </c>
    </row>
    <row r="13" customFormat="false" ht="15" hidden="false" customHeight="false" outlineLevel="0" collapsed="false">
      <c r="A13" s="25" t="s">
        <v>389</v>
      </c>
    </row>
    <row r="14" customFormat="false" ht="15" hidden="false" customHeight="false" outlineLevel="0" collapsed="false">
      <c r="A14" s="25" t="s">
        <v>390</v>
      </c>
    </row>
    <row r="15" customFormat="false" ht="15" hidden="false" customHeight="false" outlineLevel="0" collapsed="false">
      <c r="A15" s="25" t="s">
        <v>391</v>
      </c>
    </row>
    <row r="16" customFormat="false" ht="15" hidden="false" customHeight="false" outlineLevel="0" collapsed="false">
      <c r="A16" s="25" t="s">
        <v>392</v>
      </c>
    </row>
    <row r="17" customFormat="false" ht="15" hidden="false" customHeight="false" outlineLevel="0" collapsed="false">
      <c r="A17" s="25" t="s">
        <v>393</v>
      </c>
    </row>
    <row r="18" customFormat="false" ht="15" hidden="false" customHeight="false" outlineLevel="0" collapsed="false">
      <c r="A18" s="25" t="s">
        <v>394</v>
      </c>
    </row>
    <row r="19" customFormat="false" ht="15" hidden="false" customHeight="false" outlineLevel="0" collapsed="false">
      <c r="A19" s="25" t="s">
        <v>395</v>
      </c>
    </row>
    <row r="20" customFormat="false" ht="15" hidden="false" customHeight="false" outlineLevel="0" collapsed="false">
      <c r="A20" s="25" t="s">
        <v>396</v>
      </c>
    </row>
    <row r="21" customFormat="false" ht="15" hidden="false" customHeight="false" outlineLevel="0" collapsed="false">
      <c r="A21" s="25" t="s">
        <v>397</v>
      </c>
    </row>
    <row r="22" customFormat="false" ht="15" hidden="false" customHeight="false" outlineLevel="0" collapsed="false">
      <c r="A22" s="25" t="s">
        <v>391</v>
      </c>
    </row>
    <row r="23" customFormat="false" ht="15" hidden="false" customHeight="false" outlineLevel="0" collapsed="false">
      <c r="A23" s="25" t="s">
        <v>392</v>
      </c>
    </row>
    <row r="24" customFormat="false" ht="15" hidden="false" customHeight="false" outlineLevel="0" collapsed="false">
      <c r="A24" s="25" t="s">
        <v>393</v>
      </c>
    </row>
    <row r="25" customFormat="false" ht="15" hidden="false" customHeight="false" outlineLevel="0" collapsed="false">
      <c r="A25" s="25" t="s">
        <v>394</v>
      </c>
    </row>
    <row r="26" customFormat="false" ht="15" hidden="false" customHeight="false" outlineLevel="0" collapsed="false">
      <c r="A26" s="25" t="s">
        <v>398</v>
      </c>
    </row>
    <row r="27" customFormat="false" ht="15" hidden="false" customHeight="false" outlineLevel="0" collapsed="false">
      <c r="A27" s="25" t="s">
        <v>396</v>
      </c>
    </row>
    <row r="28" customFormat="false" ht="15" hidden="false" customHeight="false" outlineLevel="0" collapsed="false">
      <c r="A28" s="25" t="s">
        <v>399</v>
      </c>
    </row>
    <row r="29" customFormat="false" ht="15" hidden="false" customHeight="false" outlineLevel="0" collapsed="false">
      <c r="A29" s="25" t="s">
        <v>391</v>
      </c>
    </row>
    <row r="30" customFormat="false" ht="15" hidden="false" customHeight="false" outlineLevel="0" collapsed="false">
      <c r="A30" s="25" t="s">
        <v>392</v>
      </c>
    </row>
    <row r="31" customFormat="false" ht="15" hidden="false" customHeight="false" outlineLevel="0" collapsed="false">
      <c r="A31" s="25" t="s">
        <v>393</v>
      </c>
    </row>
    <row r="32" customFormat="false" ht="15" hidden="false" customHeight="false" outlineLevel="0" collapsed="false">
      <c r="A32" s="25" t="s">
        <v>394</v>
      </c>
    </row>
    <row r="33" customFormat="false" ht="15" hidden="false" customHeight="false" outlineLevel="0" collapsed="false">
      <c r="A33" s="25" t="s">
        <v>400</v>
      </c>
    </row>
    <row r="34" customFormat="false" ht="15" hidden="false" customHeight="false" outlineLevel="0" collapsed="false">
      <c r="A34" s="25" t="s">
        <v>396</v>
      </c>
    </row>
    <row r="35" customFormat="false" ht="15" hidden="false" customHeight="false" outlineLevel="0" collapsed="false">
      <c r="A35" s="25" t="s">
        <v>401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