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ac4ce7cb5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TFT Model" sheetId="1" r:id="Rbea9c0ab09c94557"/>
    <x:sheet xmlns:r="http://schemas.openxmlformats.org/officeDocument/2006/relationships" name="Model Config" sheetId="2" r:id="Rab4359d544c94395"/>
    <x:sheet xmlns:r="http://schemas.openxmlformats.org/officeDocument/2006/relationships" name="Formula Guide" sheetId="3" r:id="Rde79a98d8b41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0"/>
    <x:numFmt numFmtId="201" formatCode="0.000"/>
    <x:numFmt numFmtId="202" formatCode="0.0%"/>
    <x:numFmt numFmtId="203" formatCode="#,##0"/>
    <x:numFmt numFmtId="204" formatCode="0"/>
    <x:numFmt numFmtId="205" formatCode="0.00"/>
    <x:numFmt numFmtId="206" formatCode="#,##0.00"/>
    <x:numFmt numFmtId="207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11"/>
      <x:color rgb="FFFFFFFF"/>
      <x:name val="Carlito"/>
    </x:font>
    <x:font>
      <x:i/>
      <x:sz val="11"/>
      <x:color rgb="FF404040"/>
      <x:name val="Carlito"/>
    </x:font>
    <x:font>
      <x:b/>
      <x:sz val="15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AF0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6" borderId="0" xfId="0" applyNumberFormat="1" applyFont="1" applyFill="1" applyBorder="1"/>
    <x:xf numFmtId="202" fontId="2" fillId="6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1" fontId="2" fillId="6" borderId="0" xfId="0" applyNumberFormat="1" applyFont="1" applyFill="1" applyBorder="1" applyAlignment="1">
      <x:alignment wrapText="1"/>
    </x:xf>
    <x:xf numFmtId="203" fontId="2" fillId="5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204" fontId="2" fillId="8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4" fontId="2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vertical="center"/>
    </x:xf>
    <x:xf numFmtId="0" fontId="2" fillId="0" xfId="0" applyNumberFormat="1" applyFont="1" applyFill="1" applyBorder="0" applyAlignment="1">
      <x:alignment vertical="center"/>
    </x:xf>
    <x:xf numFmtId="0" fontId="0" fillId="0" xfId="0" applyNumberFormat="1" applyFont="1" applyFill="1" applyBorder="0" applyAlignment="1">
      <x:alignment vertical="center" wrapText="1"/>
    </x:xf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204" fontId="2" fillId="11" borderId="3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0" fontId="0" fillId="11" borderId="0" xfId="0" applyNumberFormat="1" applyFont="1" applyFill="1" applyBorder="1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2" fillId="11" xfId="0" applyNumberFormat="1" applyFont="1" applyFill="1" applyBorder="0" applyAlignment="1">
      <x:alignment horizontal="center" vertical="center" wrapText="1"/>
    </x:xf>
    <x:xf numFmtId="200" fontId="0" fillId="11" xfId="0" applyNumberFormat="1" applyFont="1" applyFill="1" applyBorder="0" applyAlignment="1">
      <x:alignment wrapText="1"/>
    </x:xf>
    <x:xf numFmtId="204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200" fontId="3" fillId="13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201" fontId="0" fillId="13" borderId="0" xfId="0" applyNumberFormat="1" applyFont="1" applyFill="1" applyBorder="1" applyAlignment="1">
      <x:alignment wrapText="1"/>
    </x:xf>
    <x:xf numFmtId="202" fontId="0" fillId="13" borderId="0" xfId="0" applyNumberFormat="1" applyFont="1" applyFill="1" applyBorder="1" applyAlignment="1">
      <x:alignment wrapText="1"/>
    </x:xf>
    <x:xf numFmtId="201" fontId="3" fillId="13" borderId="0" xfId="0" applyNumberFormat="1" applyFont="1" applyFill="1" applyBorder="1" applyAlignment="1">
      <x:alignment wrapText="1"/>
    </x:xf>
    <x:xf numFmtId="202" fontId="3" fillId="13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2" fontId="0" fillId="9" borderId="0" xfId="0" applyNumberFormat="1" applyFont="1" applyFill="1" applyBorder="1" applyAlignment="1">
      <x:alignment wrapText="1"/>
    </x:xf>
    <x:xf numFmtId="204" fontId="0" fillId="9" borderId="0" xfId="0" applyNumberFormat="1" applyFont="1" applyFill="1" applyBorder="1" applyAlignment="1">
      <x:alignment wrapText="1"/>
    </x:xf>
    <x:xf numFmtId="202" fontId="0" fillId="9" borderId="0" xfId="0" applyNumberFormat="1" applyFont="1" applyFill="1" applyBorder="1"/>
    <x:xf numFmtId="201" fontId="3" fillId="9" borderId="0" xfId="0" applyNumberFormat="1" applyFont="1" applyFill="1" applyBorder="1" applyAlignment="1">
      <x:alignment wrapText="1"/>
    </x:xf>
    <x:xf numFmtId="202" fontId="3" fillId="9" borderId="0" xfId="0" applyNumberFormat="1" applyFont="1" applyFill="1" applyBorder="1" applyAlignment="1">
      <x:alignment wrapText="1"/>
    </x:xf>
    <x:xf numFmtId="204" fontId="3" fillId="9" borderId="0" xfId="0" applyNumberFormat="1" applyFont="1" applyFill="1" applyBorder="1" applyAlignment="1">
      <x:alignment wrapText="1"/>
    </x:xf>
    <x:xf numFmtId="202" fontId="3" fillId="9" borderId="0" xfId="0" applyNumberFormat="1" applyFont="1" applyFill="1" applyBorder="1"/>
    <x:xf numFmtId="201" fontId="3" fillId="9" borderId="0" xfId="0" applyNumberFormat="1" applyFont="1" applyFill="1" applyBorder="1" applyAlignment="1">
      <x:alignment horizontal="center" wrapText="1"/>
    </x:xf>
    <x:xf numFmtId="202" fontId="3" fillId="9" borderId="0" xfId="0" applyNumberFormat="1" applyFont="1" applyFill="1" applyBorder="1" applyAlignment="1">
      <x:alignment horizontal="center" wrapText="1"/>
    </x:xf>
    <x:xf numFmtId="204" fontId="3" fillId="9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wrapText="1"/>
    </x:xf>
    <x:xf numFmtId="201" fontId="0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201" fontId="2" fillId="1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204" fontId="2" fillId="11" borderId="3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201" fontId="2" fillId="6" borderId="0" xfId="0" applyNumberFormat="1" applyFont="1" applyFill="1" applyBorder="1" applyAlignment="1">
      <x:alignment vertical="center" wrapText="1"/>
    </x:xf>
    <x:xf numFmtId="203" fontId="2" fillId="5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11" xfId="0" applyNumberFormat="1" applyFont="1" applyFill="1" applyBorder="0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200" fontId="3" fillId="13" borderId="0" xfId="0" applyNumberFormat="1" applyFont="1" applyFill="1" applyBorder="1" applyAlignment="1">
      <x:alignment vertical="center" wrapText="1"/>
    </x:xf>
    <x:xf numFmtId="201" fontId="2" fillId="6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2" fontId="2" fillId="6" borderId="0" xfId="0" applyNumberFormat="1" applyFont="1" applyFill="1" applyBorder="1" applyAlignment="1">
      <x:alignment vertical="center"/>
    </x:xf>
    <x:xf numFmtId="201" fontId="3" fillId="13" borderId="0" xfId="0" applyNumberFormat="1" applyFont="1" applyFill="1" applyBorder="1" applyAlignment="1">
      <x:alignment vertical="center" wrapText="1"/>
    </x:xf>
    <x:xf numFmtId="202" fontId="3" fillId="1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3" fillId="9" borderId="0" xfId="0" applyNumberFormat="1" applyFont="1" applyFill="1" applyBorder="1" applyAlignment="1">
      <x:alignment horizontal="center" vertical="center" wrapText="1"/>
    </x:xf>
    <x:xf numFmtId="202" fontId="3" fillId="9" borderId="0" xfId="0" applyNumberFormat="1" applyFont="1" applyFill="1" applyBorder="1" applyAlignment="1">
      <x:alignment horizontal="center" vertical="center" wrapText="1"/>
    </x:xf>
    <x:xf numFmtId="204" fontId="3" fillId="9" borderId="0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vertical="center" wrapText="1"/>
    </x:xf>
    <x:xf numFmtId="201" fontId="2" fillId="1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4" fontId="2" fillId="11" borderId="0" xfId="0" applyNumberFormat="1" applyFont="1" applyFill="1" applyBorder="1" applyAlignment="1">
      <x:alignment vertic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2" fillId="0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12" xfId="0" applyNumberFormat="1" applyFont="1" applyFill="1" applyBorder="0" applyAlignment="1">
      <x:alignment vertical="center" wrapText="1"/>
    </x:xf>
    <x:xf numFmtId="0" fontId="2" fillId="12" xfId="0" applyNumberFormat="1" applyFont="1" applyFill="1" applyBorder="0" applyAlignment="1">
      <x:alignment horizontal="center" vertical="center" wrapText="1"/>
    </x:xf>
    <x:xf numFmtId="0" fontId="3" fillId="13" xfId="0" applyNumberFormat="1" applyFont="1" applyFill="1" applyBorder="0" applyAlignment="1">
      <x:alignment vertical="center" wrapText="1"/>
    </x:xf>
    <x:xf numFmtId="200" fontId="3" fillId="13" xfId="0" applyNumberFormat="1" applyFont="1" applyFill="1" applyBorder="0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201" fontId="3" fillId="13" xfId="0" applyNumberFormat="1" applyFont="1" applyFill="1" applyBorder="0" applyAlignment="1">
      <x:alignment vertical="center" wrapText="1"/>
    </x:xf>
    <x:xf numFmtId="202" fontId="3" fillId="13" xfId="0" applyNumberFormat="1" applyFont="1" applyFill="1" applyBorder="0" applyAlignment="1">
      <x:alignment vertical="center" wrapText="1"/>
    </x:xf>
    <x:xf numFmtId="201" fontId="2" fillId="0" xfId="0" applyNumberFormat="1" applyFont="1" applyFill="1" applyBorder="0" applyAlignment="1">
      <x:alignment vertical="center" wrapText="1"/>
    </x:xf>
    <x:xf numFmtId="202" fontId="0" fillId="0" xfId="0" applyNumberFormat="1" applyFont="1" applyFill="1" applyBorder="0" applyAlignment="1">
      <x:alignment vertical="center" wrapText="1"/>
    </x:xf>
    <x:xf numFmtId="201" fontId="3" fillId="9" xfId="0" applyNumberFormat="1" applyFont="1" applyFill="1" applyBorder="0" applyAlignment="1">
      <x:alignment horizontal="center" vertical="center" wrapText="1"/>
    </x:xf>
    <x:xf numFmtId="202" fontId="3" fillId="9" xfId="0" applyNumberFormat="1" applyFont="1" applyFill="1" applyBorder="0" applyAlignment="1">
      <x:alignment horizontal="center" vertical="center" wrapText="1"/>
    </x:xf>
    <x:xf numFmtId="204" fontId="3" fillId="9" xfId="0" applyNumberFormat="1" applyFont="1" applyFill="1" applyBorder="0" applyAlignment="1">
      <x:alignment horizontal="center" vertical="center" wrapText="1"/>
    </x:xf>
    <x:xf numFmtId="204" fontId="0" fillId="0" xfId="0" applyNumberFormat="1" applyFont="1" applyFill="1" applyBorder="0" applyAlignment="1">
      <x:alignment vertical="center" wrapText="1"/>
    </x:xf>
    <x:xf numFmtId="202" fontId="0" fillId="0" xfId="0" applyNumberFormat="1" applyFont="1" applyFill="1" applyBorder="0" applyAlignment="1">
      <x:alignment vertical="center"/>
    </x:xf>
    <x:xf numFmtId="205" fontId="0" fillId="11" xfId="0" applyNumberFormat="1" applyFont="1" applyFill="1" applyBorder="0" applyAlignment="1">
      <x:alignment vertical="center" wrapText="1"/>
    </x:xf>
    <x:xf numFmtId="205" fontId="2" fillId="11" borderId="3" xfId="0" applyNumberFormat="1" applyFont="1" applyFill="1" applyBorder="1" applyAlignment="1">
      <x:alignment vertical="center" wrapText="1"/>
    </x:xf>
    <x:xf numFmtId="205" fontId="2" fillId="11" xfId="0" applyNumberFormat="1" applyFont="1" applyFill="1" applyBorder="0" applyAlignment="1">
      <x:alignment horizontal="center" vertical="center" wrapText="1"/>
    </x:xf>
    <x:xf numFmtId="205" fontId="2" fillId="11" borderId="0" xfId="0" applyNumberFormat="1" applyFont="1" applyFill="1" applyBorder="1" applyAlignment="1">
      <x:alignment vertical="center" wrapText="1"/>
    </x:xf>
    <x:xf numFmtId="206" fontId="0" fillId="0" xfId="0" applyNumberFormat="1" applyFont="1" applyFill="1" applyBorder="0" applyAlignment="1">
      <x:alignment vertical="center" wrapText="1"/>
    </x:xf>
    <x:xf numFmtId="206" fontId="2" fillId="3" xfId="0" applyNumberFormat="1" applyFont="1" applyFill="1" applyBorder="0" applyAlignment="1">
      <x:alignment horizontal="center" vertical="center" wrapText="1"/>
    </x:xf>
    <x:xf numFmtId="201" fontId="0" fillId="0" xfId="0" applyNumberFormat="1" applyFont="1" applyFill="1" applyBorder="0" applyAlignment="1">
      <x:alignment vertical="center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2" fillId="0" xfId="0" applyNumberFormat="1" applyFont="1" applyFill="1" applyBorder="0" applyAlignment="1">
      <x:alignment vertical="top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3" borderId="0" xfId="0" applyNumberFormat="1" applyFont="1" applyFill="1" applyBorder="1" applyAlignment="1">
      <x:alignment vertical="center" wrapText="1"/>
    </x:xf>
    <x:xf numFmtId="201" fontId="0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 wrapText="1"/>
    </x:xf>
    <x:xf numFmtId="207" fontId="3" fillId="7" borderId="0" xfId="0" applyNumberFormat="1" applyFont="1" applyFill="1" applyBorder="1" applyAlignment="1">
      <x:alignment horizontal="center" vertical="center" wrapText="1"/>
    </x:xf>
    <x:xf numFmtId="207" fontId="2" fillId="6" borderId="0" xfId="0" applyNumberFormat="1" applyFont="1" applyFill="1" applyBorder="1" applyAlignment="1">
      <x:alignment vertical="center" wrapText="1"/>
    </x:xf>
    <x:xf numFmtId="0" fontId="2" fillId="13" xfId="0" applyNumberFormat="1" applyFont="1" applyFill="1" applyBorder="0" applyAlignment="1">
      <x:alignment vertical="center" wrapText="1"/>
    </x:xf>
    <x:xf numFmtId="206" fontId="0" fillId="13" xfId="0" applyNumberFormat="1" applyFont="1" applyFill="1" applyBorder="0" applyAlignment="1">
      <x:alignment vertical="center" wrapText="1"/>
    </x:xf>
    <x:xf numFmtId="201" fontId="0" fillId="13" xfId="0" applyNumberFormat="1" applyFont="1" applyFill="1" applyBorder="0" applyAlignment="1">
      <x:alignment vertical="center" wrapText="1"/>
    </x:xf>
    <x:xf numFmtId="206" fontId="3" fillId="13" xfId="0" applyNumberFormat="1" applyFont="1" applyFill="1" applyBorder="0" applyAlignment="1">
      <x:alignment vertical="center" wrapText="1"/>
    </x:xf>
    <x:xf numFmtId="0" fontId="0" fillId="9" xfId="0" applyNumberFormat="1" applyFont="1" applyFill="1" applyBorder="0" applyAlignment="1">
      <x:alignment vertical="center" wrapText="1"/>
    </x:xf>
    <x:xf numFmtId="201" fontId="0" fillId="9" xfId="0" applyNumberFormat="1" applyFont="1" applyFill="1" applyBorder="0" applyAlignment="1">
      <x:alignment vertical="center" wrapText="1"/>
    </x:xf>
    <x:xf numFmtId="204" fontId="0" fillId="9" xfId="0" applyNumberFormat="1" applyFont="1" applyFill="1" applyBorder="0" applyAlignment="1">
      <x:alignment vertical="center" wrapText="1"/>
    </x:xf>
    <x:xf numFmtId="202" fontId="0" fillId="9" xfId="0" applyNumberFormat="1" applyFont="1" applyFill="1" applyBorder="0" applyAlignment="1">
      <x:alignment vertical="center" wrapText="1"/>
    </x:xf>
    <x:xf numFmtId="201" fontId="0" fillId="9" xfId="0" applyNumberFormat="1" applyFont="1" applyFill="1" applyBorder="0" applyAlignment="1">
      <x:alignment vertical="center"/>
    </x:xf>
    <x:xf numFmtId="0" fontId="3" fillId="9" xfId="0" applyNumberFormat="1" applyFont="1" applyFill="1" applyBorder="0" applyAlignment="1">
      <x:alignment vertical="center" wrapText="1"/>
    </x:xf>
    <x:xf numFmtId="201" fontId="3" fillId="9" xfId="0" applyNumberFormat="1" applyFont="1" applyFill="1" applyBorder="0" applyAlignment="1">
      <x:alignment vertical="center" wrapText="1"/>
    </x:xf>
    <x:xf numFmtId="204" fontId="3" fillId="9" xfId="0" applyNumberFormat="1" applyFont="1" applyFill="1" applyBorder="0" applyAlignment="1">
      <x:alignment vertical="center" wrapText="1"/>
    </x:xf>
    <x:xf numFmtId="202" fontId="3" fillId="9" xfId="0" applyNumberFormat="1" applyFont="1" applyFill="1" applyBorder="0" applyAlignment="1">
      <x:alignment vertical="center" wrapText="1"/>
    </x:xf>
    <x:xf numFmtId="201" fontId="3" fillId="9" xfId="0" applyNumberFormat="1" applyFont="1" applyFill="1" applyBorder="0" applyAlignment="1">
      <x:alignment vertical="center"/>
    </x:xf>
    <x:xf numFmtId="0" fontId="2" fillId="14" xfId="0" applyNumberFormat="1" applyFont="1" applyFill="1" applyBorder="0" applyAlignment="1">
      <x:alignment vertical="center" wrapText="1"/>
    </x:xf>
    <x:xf numFmtId="201" fontId="2" fillId="14" xfId="0" applyNumberFormat="1" applyFont="1" applyFill="1" applyBorder="0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8ecdade754038" /><Relationship Type="http://schemas.openxmlformats.org/officeDocument/2006/relationships/theme" Target="/xl/theme/theme1.xml" Id="R0b004c81cd3940d3" /><Relationship Type="http://schemas.openxmlformats.org/officeDocument/2006/relationships/sharedStrings" Target="/xl/sharedStrings.xml" Id="R81ea23709aaa4a71" /><Relationship Type="http://schemas.openxmlformats.org/officeDocument/2006/relationships/worksheet" Target="/xl/worksheets/sheet1.xml" Id="Rbea9c0ab09c94557" /><Relationship Type="http://schemas.openxmlformats.org/officeDocument/2006/relationships/worksheet" Target="/xl/worksheets/sheet2.xml" Id="Rab4359d544c94395" /><Relationship Type="http://schemas.openxmlformats.org/officeDocument/2006/relationships/worksheet" Target="/xl/worksheets/sheet3.xml" Id="Rde79a98d8b41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44" hidden="0" customWidth="1"/>
    <x:col min="4" max="4" width="4" hidden="0" customWidth="1"/>
    <x:col min="5" max="5" width="34" hidden="0" customWidth="1"/>
    <x:col min="6" max="6" width="18" hidden="0" customWidth="1"/>
    <x:col min="7" max="7" width="48" hidden="0" customWidth="1"/>
    <x:col min="8" max="8" width="30" hidden="0" customWidth="1"/>
    <x:col min="9" max="9" width="62" hidden="0" customWidth="1"/>
    <x:col min="10" max="10" width="4" hidden="0" customWidth="1"/>
    <x:col min="11" max="11" width="4" hidden="0" customWidth="1"/>
    <x:col min="12" max="12" width="4" hidden="0" customWidth="1"/>
    <x:col min="13" max="13" width="42" hidden="0" customWidth="1"/>
  </x:cols>
  <x:sheetData>
    <x:row r="1" ht="28" customHeight="1">
      <x:c r="A1" s="83" t="str">
        <x:v>Hybrid-Attention TTFT Calculator — Model-driven Qwen3.x analysis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6" t="str">
        <x:v>Select the model and hardware assumptions below. Architecture-derived values update automatically; TTFT is modeled on the single-request critical path as Compute + TP All-Reduce + Delta Rule work.</x:v>
      </x:c>
    </x:row>
    <x:row r="3">
      <x:c r="A3" s="16"/>
      <x:c r="B3" s="16"/>
      <x:c r="C3" s="17"/>
      <x:c r="D3" s="16"/>
      <x:c r="E3" s="16"/>
      <x:c r="F3" s="17"/>
      <x:c r="G3" s="17"/>
      <x:c r="H3" s="17"/>
      <x:c r="I3" s="16"/>
      <x:c r="J3" s="16"/>
      <x:c r="K3" s="16"/>
      <x:c r="L3" s="35"/>
      <x:c r="M3" s="35"/>
    </x:row>
    <x:row r="4">
      <x:c r="A4" s="159" t="str">
        <x:v>INPUT</x:v>
      </x:c>
      <x:c r="B4" s="159" t="str">
        <x:v>VALUE</x:v>
      </x:c>
      <x:c r="C4" s="159" t="str">
        <x:v>Notes</x:v>
      </x:c>
      <x:c r="D4" s="124"/>
      <x:c r="E4" s="159" t="str">
        <x:v>SELECTED MODEL PARAMETER</x:v>
      </x:c>
      <x:c r="F4" s="159" t="str">
        <x:v>VALUE</x:v>
      </x:c>
      <x:c r="G4" s="124"/>
      <x:c r="H4" s="142" t="str">
        <x:v>FORMULA BREAKDOWN (CELL-BASED)</x:v>
      </x:c>
      <x:c r="I4" s="142" t="str">
        <x:v>Excel formula / meaning</x:v>
      </x:c>
      <x:c r="J4" s="149"/>
      <x:c r="K4" s="149"/>
      <x:c r="L4" s="195"/>
      <x:c r="M4" s="127"/>
      <x:c r="N4" s="126"/>
    </x:row>
    <x:row r="5">
      <x:c r="A5" s="160" t="str">
        <x:v>Model</x:v>
      </x:c>
      <x:c r="B5" s="176" t="str">
        <x:v>Qwen3.6-27B</x:v>
      </x:c>
      <x:c r="C5" s="81" t="str">
        <x:v>Dropdown — architecture comes from Model Config</x:v>
      </x:c>
      <x:c r="D5" s="124"/>
      <x:c r="E5" s="160" t="str">
        <x:v>Hidden size H</x:v>
      </x:c>
      <x:c r="F5" s="162" t="n">
        <x:f>INDEX('Model Config'!$B$2:$B$4,MATCH($B$5,'Model Config'!$A$2:$A$4,0))</x:f>
        <x:v>5120</x:v>
      </x:c>
      <x:c r="G5" s="124"/>
      <x:c r="H5" s="128" t="str">
        <x:v>FFN FLOPs</x:v>
      </x:c>
      <x:c r="I5" s="196" t="str">
        <x:v>=IF(F17="Dense",6*F5*F9,6*F5*(F18*F20+F21))</x:v>
      </x:c>
      <x:c r="J5" s="125"/>
      <x:c r="K5" s="125"/>
      <x:c r="L5" s="126"/>
      <x:c r="M5" s="127"/>
      <x:c r="N5" s="126"/>
    </x:row>
    <x:row r="6">
      <x:c r="A6" s="160" t="str">
        <x:v>Batch size</x:v>
      </x:c>
      <x:c r="B6" s="176" t="n">
        <x:v>1</x:v>
      </x:c>
      <x:c r="C6" s="81" t="str">
        <x:v>Number of sequences processed together</x:v>
      </x:c>
      <x:c r="D6" s="124"/>
      <x:c r="E6" s="160" t="str">
        <x:v>Layers</x:v>
      </x:c>
      <x:c r="F6" s="162" t="n">
        <x:f>INDEX('Model Config'!$C$2:$C$4,MATCH($B$5,'Model Config'!$A$2:$A$4,0))</x:f>
        <x:v>64</x:v>
      </x:c>
      <x:c r="G6" s="124"/>
      <x:c r="H6" s="128" t="str">
        <x:v>Linear projection FLOPs</x:v>
      </x:c>
      <x:c r="I6" s="196" t="str">
        <x:v>=2*F5*(2*F13*F15+3*F14*F16+2*F14)</x:v>
      </x:c>
      <x:c r="J6" s="125"/>
      <x:c r="K6" s="125"/>
      <x:c r="L6" s="126"/>
      <x:c r="M6" s="127"/>
      <x:c r="N6" s="126"/>
    </x:row>
    <x:row r="7">
      <x:c r="A7" s="160" t="str">
        <x:v>Prompt tokens / request</x:v>
      </x:c>
      <x:c r="B7" s="176" t="n">
        <x:v>1024</x:v>
      </x:c>
      <x:c r="C7" s="81" t="str">
        <x:v>Per-sequence prompt length</x:v>
      </x:c>
      <x:c r="D7" s="124"/>
      <x:c r="E7" s="160" t="str">
        <x:v>Linear-attention layers</x:v>
      </x:c>
      <x:c r="F7" s="162" t="n">
        <x:f>INDEX('Model Config'!$D$2:$D$4,MATCH($B$5,'Model Config'!$A$2:$A$4,0))</x:f>
        <x:v>48</x:v>
      </x:c>
      <x:c r="G7" s="124"/>
      <x:c r="H7" s="128" t="str">
        <x:v>Full projection FLOPs</x:v>
      </x:c>
      <x:c r="I7" s="196" t="str">
        <x:v>=2*F5*(3*F10*F12+2*F11*F12)</x:v>
      </x:c>
      <x:c r="J7" s="125"/>
      <x:c r="K7" s="125"/>
      <x:c r="L7" s="126"/>
      <x:c r="M7" s="127"/>
      <x:c r="N7" s="126"/>
    </x:row>
    <x:row r="8">
      <x:c r="A8" s="160" t="str">
        <x:v>TP GPUs</x:v>
      </x:c>
      <x:c r="B8" s="176" t="n">
        <x:v>4</x:v>
      </x:c>
      <x:c r="C8" s="81" t="str">
        <x:v>Tensor parallel degree</x:v>
      </x:c>
      <x:c r="D8" s="124"/>
      <x:c r="E8" s="160" t="str">
        <x:v>Full-attention layers</x:v>
      </x:c>
      <x:c r="F8" s="162" t="n">
        <x:f>INDEX('Model Config'!$E$2:$E$4,MATCH($B$5,'Model Config'!$A$2:$A$4,0))</x:f>
        <x:v>16</x:v>
      </x:c>
      <x:c r="G8" s="124"/>
      <x:c r="H8" s="128" t="str">
        <x:v>Full attention quadratic</x:v>
      </x:c>
      <x:c r="I8" s="196" t="str">
        <x:v>=4*F10*F12</x:v>
      </x:c>
      <x:c r="J8" s="125"/>
      <x:c r="K8" s="125"/>
      <x:c r="L8" s="126"/>
      <x:c r="M8" s="127"/>
      <x:c r="N8" s="126"/>
    </x:row>
    <x:row r="9">
      <x:c r="A9" s="160" t="str">
        <x:v>Achieved BF16 TFLOP/s / GPU</x:v>
      </x:c>
      <x:c r="B9" s="176" t="n">
        <x:v>150</x:v>
      </x:c>
      <x:c r="C9" s="81" t="str">
        <x:v>Measured/assumed effective GEMM throughput</x:v>
      </x:c>
      <x:c r="D9" s="124"/>
      <x:c r="E9" s="160" t="str">
        <x:v>Intermediate size I</x:v>
      </x:c>
      <x:c r="F9" s="162" t="n">
        <x:f>INDEX('Model Config'!$F$2:$F$4,MATCH($B$5,'Model Config'!$A$2:$A$4,0))</x:f>
        <x:v>17408</x:v>
      </x:c>
      <x:c r="G9" s="124"/>
      <x:c r="H9" s="128" t="str">
        <x:v>Total linear FLOPs/token</x:v>
      </x:c>
      <x:c r="I9" s="196" t="str">
        <x:v>=F7*(B20+B19)+F8*(B21+B19)</x:v>
      </x:c>
      <x:c r="J9" s="125"/>
      <x:c r="K9" s="125"/>
      <x:c r="L9" s="126"/>
      <x:c r="M9" s="127"/>
      <x:c r="N9" s="126"/>
    </x:row>
    <x:row r="10">
      <x:c r="A10" s="160" t="str">
        <x:v>PCIe theoretical bandwidth (GB/s)</x:v>
      </x:c>
      <x:c r="B10" s="176" t="n">
        <x:v>30</x:v>
      </x:c>
      <x:c r="C10" s="81" t="str">
        <x:v>Hardware/P2P ceiling assumption</x:v>
      </x:c>
      <x:c r="D10" s="124"/>
      <x:c r="E10" s="160" t="str">
        <x:v>Attention heads</x:v>
      </x:c>
      <x:c r="F10" s="162" t="n">
        <x:f>INDEX('Model Config'!$G$2:$G$4,MATCH($B$5,'Model Config'!$A$2:$A$4,0))</x:f>
        <x:v>24</x:v>
      </x:c>
      <x:c r="G10" s="124"/>
      <x:c r="H10" s="128" t="str">
        <x:v>Total quadratic coeff</x:v>
      </x:c>
      <x:c r="I10" s="196" t="str">
        <x:v>=F8*B22</x:v>
      </x:c>
      <x:c r="J10" s="125"/>
      <x:c r="K10" s="125"/>
      <x:c r="L10" s="126"/>
      <x:c r="M10" s="127"/>
      <x:c r="N10" s="126"/>
    </x:row>
    <x:row r="11">
      <x:c r="A11" s="131" t="str">
        <x:v>Achieved TP All-Reduce bandwidth (GB/s)</x:v>
      </x:c>
      <x:c r="B11" s="177" t="n">
        <x:v>20</x:v>
      </x:c>
      <x:c r="C11" s="81" t="str">
        <x:v>Effective bandwidth used for communication time</x:v>
      </x:c>
      <x:c r="D11" s="124"/>
      <x:c r="E11" s="160" t="str">
        <x:v>KV heads</x:v>
      </x:c>
      <x:c r="F11" s="162" t="n">
        <x:f>INDEX('Model Config'!$H$2:$H$4,MATCH($B$5,'Model Config'!$A$2:$A$4,0))</x:f>
        <x:v>4</x:v>
      </x:c>
      <x:c r="G11" s="124"/>
      <x:c r="H11" s="128" t="str">
        <x:v>TP bytes/layer/token</x:v>
      </x:c>
      <x:c r="I11" s="197" t="str">
        <x:v>=2*((B8-1)/B8)*F5*B12*2</x:v>
      </x:c>
      <x:c r="J11" s="133"/>
      <x:c r="K11" s="133"/>
      <x:c r="L11" s="126"/>
      <x:c r="M11" s="127"/>
      <x:c r="N11" s="126"/>
    </x:row>
    <x:row r="12">
      <x:c r="A12" s="160" t="str">
        <x:v>BF16 bytes / element</x:v>
      </x:c>
      <x:c r="B12" s="176" t="n">
        <x:v>2</x:v>
      </x:c>
      <x:c r="C12" s="81" t="str">
        <x:v>BF16 = 2 bytes</x:v>
      </x:c>
      <x:c r="D12" s="124"/>
      <x:c r="E12" s="160" t="str">
        <x:v>Attention head dim</x:v>
      </x:c>
      <x:c r="F12" s="162" t="n">
        <x:f>INDEX('Model Config'!$I$2:$I$4,MATCH($B$5,'Model Config'!$A$2:$A$4,0))</x:f>
        <x:v>256</x:v>
      </x:c>
      <x:c r="G12" s="124"/>
      <x:c r="H12" s="128" t="str">
        <x:v>Total TP bytes/token</x:v>
      </x:c>
      <x:c r="I12" s="198" t="str">
        <x:v>=F6*B25</x:v>
      </x:c>
      <x:c r="J12" s="134"/>
      <x:c r="K12" s="135"/>
      <x:c r="L12" s="126"/>
      <x:c r="M12" s="136"/>
      <x:c r="N12" s="126"/>
    </x:row>
    <x:row r="13">
      <x:c r="A13" s="161" t="str">
        <x:v>Delta chunk size</x:v>
      </x:c>
      <x:c r="B13" s="178" t="n">
        <x:v>64</x:v>
      </x:c>
      <x:c r="C13" s="81" t="str">
        <x:v>Configurable chunk size C</x:v>
      </x:c>
      <x:c r="D13" s="124"/>
      <x:c r="E13" s="160" t="str">
        <x:v>Linear key heads</x:v>
      </x:c>
      <x:c r="F13" s="162" t="n">
        <x:f>INDEX('Model Config'!$J$2:$J$4,MATCH($B$5,'Model Config'!$A$2:$A$4,0))</x:f>
        <x:v>16</x:v>
      </x:c>
      <x:c r="G13" s="124"/>
      <x:c r="H13" s="128" t="str">
        <x:v>Delta padded tokens</x:v>
      </x:c>
      <x:c r="I13" s="196" t="str">
        <x:v>=ROUNDUP(B7/B13,0)*B13</x:v>
      </x:c>
      <x:c r="J13" s="124"/>
      <x:c r="K13" s="124"/>
      <x:c r="L13" s="126"/>
      <x:c r="M13" s="137"/>
      <x:c r="N13" s="126"/>
    </x:row>
    <x:row r="14">
      <x:c r="A14" s="160" t="str">
        <x:v>Delta effective TFLOP/s / GPU</x:v>
      </x:c>
      <x:c r="B14" s="176" t="n">
        <x:v>150</x:v>
      </x:c>
      <x:c r="C14" s="81" t="str">
        <x:v>Separate from GEMM TFLOP/s</x:v>
      </x:c>
      <x:c r="D14" s="124"/>
      <x:c r="E14" s="160" t="str">
        <x:v>Linear value heads</x:v>
      </x:c>
      <x:c r="F14" s="162" t="n">
        <x:f>INDEX('Model Config'!$K$2:$K$4,MATCH($B$5,'Model Config'!$A$2:$A$4,0))</x:f>
        <x:v>48</x:v>
      </x:c>
      <x:c r="G14" s="124"/>
      <x:c r="H14" s="128" t="str">
        <x:v>Delta FLOPs/token/layer</x:v>
      </x:c>
      <x:c r="I14" s="196" t="str">
        <x:v>=F14*(4*B13^2*F15+B13^2*(F16+F15)+6*B13*F15*F16+2*B13^2*F16)</x:v>
      </x:c>
      <x:c r="J14" s="124"/>
      <x:c r="K14" s="124"/>
      <x:c r="L14" s="126"/>
      <x:c r="M14" s="139"/>
      <x:c r="N14" s="126"/>
    </x:row>
    <x:row r="15">
      <x:c r="A15" s="160" t="str">
        <x:v>Fixed overhead / chunk / linear layer (µs)</x:v>
      </x:c>
      <x:c r="B15" s="176" t="n">
        <x:v>0</x:v>
      </x:c>
      <x:c r="C15" s="81" t="str">
        <x:v>Optional kernel/sync overhead</x:v>
      </x:c>
      <x:c r="D15" s="124"/>
      <x:c r="E15" s="160" t="str">
        <x:v>Linear key head dim</x:v>
      </x:c>
      <x:c r="F15" s="162" t="n">
        <x:f>INDEX('Model Config'!$L$2:$L$4,MATCH($B$5,'Model Config'!$A$2:$A$4,0))</x:f>
        <x:v>128</x:v>
      </x:c>
      <x:c r="G15" s="124"/>
      <x:c r="H15" s="128" t="str">
        <x:v>Final TTFT</x:v>
      </x:c>
      <x:c r="I15" s="196" t="str">
        <x:v>=Compute + TP communication + Delta arithmetic + Delta fixed overhead</x:v>
      </x:c>
      <x:c r="J15" s="124"/>
      <x:c r="K15" s="124"/>
      <x:c r="L15" s="126"/>
      <x:c r="M15" s="137"/>
      <x:c r="N15" s="126"/>
    </x:row>
    <x:row r="16">
      <x:c r="A16" s="124"/>
      <x:c r="B16" s="140"/>
      <x:c r="C16" s="124"/>
      <x:c r="D16" s="124"/>
      <x:c r="E16" s="160" t="str">
        <x:v>Linear value head dim</x:v>
      </x:c>
      <x:c r="F16" s="162" t="n">
        <x:f>INDEX('Model Config'!$M$2:$M$4,MATCH($B$5,'Model Config'!$A$2:$A$4,0))</x:f>
        <x:v>128</x:v>
      </x:c>
      <x:c r="G16" s="124"/>
      <x:c r="H16" s="124"/>
      <x:c r="I16" s="124"/>
      <x:c r="J16" s="124"/>
      <x:c r="K16" s="124"/>
      <x:c r="L16" s="126"/>
      <x:c r="M16" s="137"/>
      <x:c r="N16" s="126"/>
    </x:row>
    <x:row r="17">
      <x:c r="A17" s="124"/>
      <x:c r="B17" s="140"/>
      <x:c r="C17" s="124"/>
      <x:c r="D17" s="124"/>
      <x:c r="E17" s="160" t="str">
        <x:v>FFN type</x:v>
      </x:c>
      <x:c r="F17" s="162" t="str">
        <x:f>INDEX('Model Config'!$N$2:$N$4,MATCH($B$5,'Model Config'!$A$2:$A$4,0))</x:f>
        <x:v>Dense</x:v>
      </x:c>
      <x:c r="G17" s="124"/>
      <x:c r="H17" s="124"/>
      <x:c r="I17" s="124"/>
      <x:c r="J17" s="124"/>
      <x:c r="K17" s="124"/>
      <x:c r="L17" s="126"/>
      <x:c r="M17" s="141"/>
      <x:c r="N17" s="126"/>
    </x:row>
    <x:row r="18">
      <x:c r="A18" s="164"/>
      <x:c r="B18" s="165"/>
      <x:c r="C18" s="164"/>
      <x:c r="D18" s="124"/>
      <x:c r="E18" s="160" t="str">
        <x:v>MoE active routed</x:v>
      </x:c>
      <x:c r="F18" s="162" t="n">
        <x:f>INDEX('Model Config'!$O$2:$O$4,MATCH($B$5,'Model Config'!$A$2:$A$4,0))</x:f>
        <x:v>0</x:v>
      </x:c>
      <x:c r="G18" s="124"/>
      <x:c r="H18" s="124"/>
      <x:c r="I18" s="124"/>
      <x:c r="J18" s="124"/>
      <x:c r="K18" s="124"/>
      <x:c r="L18" s="126"/>
      <x:c r="M18" s="141"/>
      <x:c r="N18" s="126"/>
    </x:row>
    <x:row r="19">
      <x:c r="A19" s="160"/>
      <x:c r="B19" s="180"/>
      <x:c r="C19" s="81"/>
      <x:c r="D19" s="124"/>
      <x:c r="E19" s="160" t="str">
        <x:v>MoE total experts</x:v>
      </x:c>
      <x:c r="F19" s="162" t="n">
        <x:f>INDEX('Model Config'!$P$2:$P$4,MATCH($B$5,'Model Config'!$A$2:$A$4,0))</x:f>
        <x:v>0</x:v>
      </x:c>
      <x:c r="G19" s="124"/>
      <x:c r="H19" s="124"/>
      <x:c r="I19" s="124"/>
      <x:c r="J19" s="124"/>
      <x:c r="K19" s="124"/>
      <x:c r="L19" s="126"/>
      <x:c r="M19" s="141"/>
      <x:c r="N19" s="126"/>
    </x:row>
    <x:row r="20">
      <x:c r="A20" s="160"/>
      <x:c r="B20" s="180"/>
      <x:c r="C20" s="81"/>
      <x:c r="D20" s="124"/>
      <x:c r="E20" s="160" t="str">
        <x:v>MoE expert intermediate</x:v>
      </x:c>
      <x:c r="F20" s="162" t="n">
        <x:f>INDEX('Model Config'!$Q$2:$Q$4,MATCH($B$5,'Model Config'!$A$2:$A$4,0))</x:f>
        <x:v>0</x:v>
      </x:c>
      <x:c r="G20" s="124"/>
      <x:c r="H20" s="124"/>
      <x:c r="I20" s="124"/>
      <x:c r="J20" s="124"/>
      <x:c r="K20" s="124"/>
      <x:c r="L20" s="126"/>
      <x:c r="M20" s="144"/>
      <x:c r="N20" s="126"/>
    </x:row>
    <x:row r="21">
      <x:c r="A21" s="161"/>
      <x:c r="B21" s="181"/>
      <x:c r="C21" s="161"/>
      <x:c r="D21" s="16"/>
      <x:c r="E21" s="161" t="str">
        <x:v>MoE shared expert intermediate</x:v>
      </x:c>
      <x:c r="F21" s="163" t="n">
        <x:f>INDEX('Model Config'!$R$2:$R$4,MATCH($B$5,'Model Config'!$A$2:$A$4,0))</x:f>
        <x:v>0</x:v>
      </x:c>
      <x:c r="G21" s="16"/>
      <x:c r="H21" s="62"/>
      <x:c r="I21" s="62"/>
      <x:c r="J21" s="62"/>
      <x:c r="K21" s="62"/>
      <x:c r="L21" s="64"/>
      <x:c r="M21" s="144"/>
      <x:c r="N21" s="126"/>
    </x:row>
    <x:row r="22">
      <x:c r="A22" s="160"/>
      <x:c r="B22" s="180"/>
      <x:c r="C22" s="166"/>
      <x:c r="D22" s="125"/>
      <x:c r="E22" s="125"/>
      <x:c r="F22" s="145"/>
      <x:c r="G22" s="145"/>
      <x:c r="H22" s="146"/>
      <x:c r="I22" s="125"/>
      <x:c r="J22" s="125"/>
      <x:c r="K22" s="125"/>
      <x:c r="L22" s="147"/>
      <x:c r="M22" s="148"/>
      <x:c r="N22" s="126"/>
    </x:row>
    <x:row r="23">
      <x:c r="A23" s="160"/>
      <x:c r="B23" s="180"/>
      <x:c r="C23" s="166"/>
      <x:c r="D23" s="125"/>
      <x:c r="E23" s="125"/>
      <x:c r="F23" s="145"/>
      <x:c r="G23" s="145"/>
      <x:c r="H23" s="146"/>
      <x:c r="I23" s="125"/>
      <x:c r="J23" s="125"/>
      <x:c r="K23" s="125"/>
      <x:c r="L23" s="145"/>
      <x:c r="M23" s="124"/>
      <x:c r="N23" s="126"/>
    </x:row>
    <x:row r="24">
      <x:c r="A24" s="164" t="str">
        <x:v>DERIVED FLOPS / COMMUNICATION</x:v>
      </x:c>
      <x:c r="B24" s="202" t="str">
        <x:v>VALUE</x:v>
      </x:c>
      <x:c r="C24" s="167" t="str">
        <x:v>Formula / interpretation</x:v>
      </x:c>
      <x:c r="D24" s="125"/>
      <x:c r="E24" s="167" t="str">
        <x:v>TIMING DERIVATION</x:v>
      </x:c>
      <x:c r="F24" s="168" t="str">
        <x:v>VALUE</x:v>
      </x:c>
      <x:c r="G24" s="168" t="str">
        <x:v>Formula</x:v>
      </x:c>
      <x:c r="H24" s="146"/>
      <x:c r="I24" s="125"/>
      <x:c r="J24" s="125"/>
      <x:c r="K24" s="125"/>
      <x:c r="L24" s="145"/>
      <x:c r="M24" s="124"/>
      <x:c r="N24" s="126"/>
    </x:row>
    <x:row r="25">
      <x:c r="A25" s="160" t="str">
        <x:v>FFN FLOPs / token / layer</x:v>
      </x:c>
      <x:c r="B25" s="180" t="n">
        <x:f>6*$F$5*IF($F$17="Dense",$F$9,$F$18*$F$20+$F$21)</x:f>
        <x:v>534773760</x:v>
      </x:c>
      <x:c r="C25" s="166" t="str">
        <x:v>Dense: 6·H·I; MoE: 6·H·(active routed·expert I + shared I)</x:v>
      </x:c>
      <x:c r="D25" s="125"/>
      <x:c r="E25" s="169" t="str">
        <x:v>Compute linear time / token (µs)</x:v>
      </x:c>
      <x:c r="F25" s="166" t="n">
        <x:f>$B$29/($B$8*$B$9*10^12)*10^6</x:f>
        <x:v>81.16852053333334</x:v>
      </x:c>
      <x:c r="G25" s="170" t="str">
        <x:v>Total linear FLOPs/token ÷ (P·TFLOP/s·1e12) × 1e6</x:v>
      </x:c>
      <x:c r="H25" s="146"/>
      <x:c r="I25" s="125"/>
      <x:c r="J25" s="125"/>
      <x:c r="K25" s="125"/>
      <x:c r="L25" s="147"/>
      <x:c r="M25" s="126"/>
      <x:c r="N25" s="126"/>
    </x:row>
    <x:row r="26">
      <x:c r="A26" s="160" t="str">
        <x:v>Linear-attention projection FLOPs / token / layer</x:v>
      </x:c>
      <x:c r="B26" s="180" t="n">
        <x:f>2*$F$5*(2*$F$13*$F$15+3*$F$14*$F$16+2*$F$14)</x:f>
        <x:v>231669760</x:v>
      </x:c>
      <x:c r="C26" s="166" t="str">
        <x:v>2·H·(2·QK_heads·QK_dim + 3·V_heads·V_dim + 2·V_heads)</x:v>
      </x:c>
      <x:c r="D26" s="125"/>
      <x:c r="E26" s="169" t="str">
        <x:v>Compute quadratic time / token² (µs)</x:v>
      </x:c>
      <x:c r="F26" s="166" t="n">
        <x:f>$B$30/($B$8*$B$9*10^12)*10^6</x:f>
        <x:v>0.00065536</x:v>
      </x:c>
      <x:c r="G26" s="170" t="str">
        <x:v>Quadratic coefficient ÷ (P·TFLOP/s·1e12) × 1e6</x:v>
      </x:c>
      <x:c r="H26" s="146"/>
      <x:c r="I26" s="125"/>
      <x:c r="J26" s="125"/>
      <x:c r="K26" s="125"/>
      <x:c r="L26" s="147"/>
      <x:c r="M26" s="126"/>
      <x:c r="N26" s="126"/>
    </x:row>
    <x:row r="27">
      <x:c r="A27" s="160" t="str">
        <x:v>Full-attention projection FLOPs / token / layer</x:v>
      </x:c>
      <x:c r="B27" s="180" t="n">
        <x:f>2*$F$5*(3*$F$10*$F$12+2*$F$11*$F$12)</x:f>
        <x:v>209715200</x:v>
      </x:c>
      <x:c r="C27" s="166" t="str">
        <x:v>2·H·(3·Attn_heads·head_dim + 2·KV_heads·head_dim)</x:v>
      </x:c>
      <x:c r="D27" s="125"/>
      <x:c r="E27" s="169" t="str">
        <x:v>Compute time for configured batch (ms)</x:v>
      </x:c>
      <x:c r="F27" s="166" t="n">
        <x:f>($B$37+$B$38)/($B$8*$B$9*10^12)*1000</x:f>
        <x:v>83.80375979349333</x:v>
      </x:c>
      <x:c r="G27" s="170" t="str">
        <x:v>[B·S·linear FLOPs + B·S²·quadratic coeff] ÷ (P·TFLOP/s·1e12) × 1000</x:v>
      </x:c>
      <x:c r="H27" s="146"/>
      <x:c r="I27" s="125"/>
      <x:c r="J27" s="125"/>
      <x:c r="K27" s="125"/>
      <x:c r="L27" s="147"/>
      <x:c r="M27" s="126"/>
      <x:c r="N27" s="126"/>
    </x:row>
    <x:row r="28">
      <x:c r="A28" s="160" t="str">
        <x:v>Full-attention quadratic FLOPs / token² / full layer</x:v>
      </x:c>
      <x:c r="B28" s="180" t="n">
        <x:f>4*$F$10*$F$12</x:f>
        <x:v>24576</x:v>
      </x:c>
      <x:c r="C28" s="166" t="str">
        <x:v>4·Attn_heads·head_dim</x:v>
      </x:c>
      <x:c r="D28" s="125"/>
      <x:c r="E28" s="169" t="str">
        <x:v>TP communication time (ms)</x:v>
      </x:c>
      <x:c r="F28" s="166" t="n">
        <x:f>$B$6*$B$7*$B$32/($B$11*10^9)*1000</x:f>
        <x:v>100.663296</x:v>
      </x:c>
      <x:c r="G28" s="170" t="str">
        <x:v>B·S·total TP bytes/token ÷ (achieved GB/s·1e9) × 1000</x:v>
      </x:c>
      <x:c r="H28" s="146"/>
      <x:c r="I28" s="125"/>
      <x:c r="J28" s="125"/>
      <x:c r="K28" s="125"/>
      <x:c r="L28" s="147"/>
      <x:c r="M28" s="126"/>
      <x:c r="N28" s="126"/>
    </x:row>
    <x:row r="29">
      <x:c r="A29" s="160" t="str">
        <x:v>Total linear FLOPs / token</x:v>
      </x:c>
      <x:c r="B29" s="180" t="n">
        <x:f>$F$7*($B$26+$B$25)+$F$8*($B$27+$B$25)</x:f>
        <x:v>48701112320</x:v>
      </x:c>
      <x:c r="C29" s="166" t="str">
        <x:v>LinearLayers·(Linear proj + FFN) + FullLayers·(Full proj + FFN)</x:v>
      </x:c>
      <x:c r="D29" s="125"/>
      <x:c r="E29" s="169" t="str">
        <x:v>Delta arithmetic time (ms)</x:v>
      </x:c>
      <x:c r="F29" s="166" t="n">
        <x:f>$B$36/($B$8*$B$14*10^12)*1000</x:f>
        <x:v>41.2316860416</x:v>
      </x:c>
      <x:c r="G29" s="170" t="str">
        <x:v>Delta FLOPs/batch ÷ (P·Delta TFLOP/s·1e12) × 1000</x:v>
      </x:c>
      <x:c r="H29" s="146"/>
      <x:c r="I29" s="125"/>
      <x:c r="J29" s="125"/>
      <x:c r="K29" s="125"/>
      <x:c r="L29" s="147"/>
      <x:c r="M29" s="126"/>
      <x:c r="N29" s="126"/>
    </x:row>
    <x:row r="30">
      <x:c r="A30" s="160" t="str">
        <x:v>Total quadratic coefficient FLOPs / token²</x:v>
      </x:c>
      <x:c r="B30" s="180" t="n">
        <x:f>$F$8*$B$28</x:f>
        <x:v>393216</x:v>
      </x:c>
      <x:c r="C30" s="166" t="str">
        <x:v>FullLayers·Full-attn quadratic coefficient</x:v>
      </x:c>
      <x:c r="D30" s="125"/>
      <x:c r="E30" s="169" t="str">
        <x:v>Delta fixed overhead (ms)</x:v>
      </x:c>
      <x:c r="F30" s="166" t="n">
        <x:f>$B$34*$F$7*$B$15/1000</x:f>
        <x:v>0</x:v>
      </x:c>
      <x:c r="G30" s="170" t="str">
        <x:v>Delta chunks × linear layers × overhead/chunk/layer (µs) ÷ 1000</x:v>
      </x:c>
      <x:c r="H30" s="146"/>
      <x:c r="I30" s="125"/>
      <x:c r="J30" s="125"/>
      <x:c r="K30" s="125"/>
      <x:c r="L30" s="147"/>
      <x:c r="M30" s="126"/>
      <x:c r="N30" s="126"/>
    </x:row>
    <x:row r="31">
      <x:c r="A31" s="160" t="str">
        <x:v>Ring all-reduce bytes / layer / token / GPU</x:v>
      </x:c>
      <x:c r="B31" s="180" t="n">
        <x:f>2*(($B$8-1)/$B$8)*$F$5*$B$12*2</x:f>
        <x:v>30720</x:v>
      </x:c>
      <x:c r="C31" s="166" t="str">
        <x:v>2 collectives × 2·(P−1)/P × H × bytes</x:v>
      </x:c>
      <x:c r="D31" s="125"/>
      <x:c r="E31" s="169" t="str">
        <x:v>Base serialized TTFT (ms)</x:v>
      </x:c>
      <x:c r="F31" s="166" t="n">
        <x:f>$F$27+$F$28</x:f>
        <x:v>184.46705579349333</x:v>
      </x:c>
      <x:c r="G31" s="170" t="str">
        <x:v>Compute time + TP communication time</x:v>
      </x:c>
      <x:c r="H31" s="146"/>
      <x:c r="I31" s="125"/>
      <x:c r="J31" s="125"/>
      <x:c r="K31" s="125"/>
      <x:c r="L31" s="147"/>
      <x:c r="M31" s="126"/>
      <x:c r="N31" s="126"/>
    </x:row>
    <x:row r="32">
      <x:c r="A32" s="160" t="str">
        <x:v>Total TP bytes / token / GPU</x:v>
      </x:c>
      <x:c r="B32" s="180" t="n">
        <x:f>$F$6*$B$31</x:f>
        <x:v>1966080</x:v>
      </x:c>
      <x:c r="C32" s="166" t="str">
        <x:v>Layers × ring bytes / layer / token</x:v>
      </x:c>
      <x:c r="D32" s="125"/>
      <x:c r="E32" s="169" t="str">
        <x:v>Total TTFT incl. Delta (ms)</x:v>
      </x:c>
      <x:c r="F32" s="166" t="n">
        <x:f>$F$31+$F$29+$F$30</x:f>
        <x:v>225.69874183509333</x:v>
      </x:c>
      <x:c r="G32" s="170" t="str">
        <x:v>Base serialized TTFT + Delta arithmetic + Delta fixed overhead</x:v>
      </x:c>
      <x:c r="H32" s="146"/>
      <x:c r="I32" s="125"/>
      <x:c r="J32" s="125"/>
      <x:c r="K32" s="125"/>
      <x:c r="L32" s="147"/>
      <x:c r="M32" s="126"/>
      <x:c r="N32" s="126"/>
    </x:row>
    <x:row r="33">
      <x:c r="A33" s="160" t="str">
        <x:v>Delta padded tokens / request</x:v>
      </x:c>
      <x:c r="B33" s="166" t="n">
        <x:f>ROUNDUP($B$7/$B$13,0)*$B$13</x:f>
        <x:v>1024</x:v>
      </x:c>
      <x:c r="C33" s="166" t="str">
        <x:v>CEILING(S/C,1)·C</x:v>
      </x:c>
      <x:c r="D33" s="125"/>
      <x:c r="E33" s="169" t="str">
        <x:v>TTFT / request in batch (ms)</x:v>
      </x:c>
      <x:c r="F33" s="166" t="n">
        <x:f>$F$32</x:f>
        <x:v>225.69874183509333</x:v>
      </x:c>
      <x:c r="G33" s="170" t="str">
        <x:v>Total batch critical-path time; all requests in the batch wait for the batch</x:v>
      </x:c>
      <x:c r="H33" s="146"/>
      <x:c r="I33" s="125"/>
      <x:c r="J33" s="125"/>
      <x:c r="K33" s="125"/>
      <x:c r="L33" s="147"/>
      <x:c r="M33" s="126"/>
      <x:c r="N33" s="126"/>
    </x:row>
    <x:row r="34">
      <x:c r="A34" s="160" t="str">
        <x:v>Delta chunks / batch</x:v>
      </x:c>
      <x:c r="B34" s="166" t="n">
        <x:f>$B$6*ROUNDUP($B$7/$B$13,0)</x:f>
        <x:v>16</x:v>
      </x:c>
      <x:c r="C34" s="166" t="str">
        <x:v>B·CEILING(S/C,1)</x:v>
      </x:c>
      <x:c r="D34" s="125"/>
      <x:c r="E34" s="169" t="str">
        <x:v>Compute share</x:v>
      </x:c>
      <x:c r="F34" s="170" t="n">
        <x:f>$F$27/$F$31</x:f>
        <x:v>0.4543020401827724</x:v>
      </x:c>
      <x:c r="G34" s="170" t="str">
        <x:v>Compute / Base serialized TTFT</x:v>
      </x:c>
      <x:c r="H34" s="146"/>
      <x:c r="I34" s="125"/>
      <x:c r="J34" s="125"/>
      <x:c r="K34" s="125"/>
      <x:c r="L34" s="147"/>
      <x:c r="M34" s="126"/>
      <x:c r="N34" s="126"/>
    </x:row>
    <x:row r="35">
      <x:c r="A35" s="160" t="str">
        <x:v>Approx Delta FLOPs / token / linear layer</x:v>
      </x:c>
      <x:c r="B35" s="166" t="n">
        <x:f>$F$14*(4*$B$13^2*$F$15+$B$13^2*($F$16+$F$15)+6*$B$13*$F$15*$F$16+2*$B$13^2*$F$16)</x:f>
        <x:v>503316480</x:v>
      </x:c>
      <x:c r="C35" s="166" t="str">
        <x:v>C-dependent chunked Delta Rule approximation</x:v>
      </x:c>
      <x:c r="D35" s="125"/>
      <x:c r="E35" s="169" t="str">
        <x:v>TP communication share</x:v>
      </x:c>
      <x:c r="F35" s="170" t="n">
        <x:f>$F$28/$F$31</x:f>
        <x:v>0.5456979598172276</x:v>
      </x:c>
      <x:c r="G35" s="170" t="str">
        <x:v>TP communication / Base serialized TTFT</x:v>
      </x:c>
      <x:c r="H35" s="146"/>
      <x:c r="I35" s="125"/>
      <x:c r="J35" s="125"/>
      <x:c r="K35" s="125"/>
      <x:c r="L35" s="147"/>
      <x:c r="M35" s="126"/>
      <x:c r="N35" s="126"/>
    </x:row>
    <x:row r="36">
      <x:c r="A36" s="160" t="str">
        <x:v>Approx Delta FLOPs / batch</x:v>
      </x:c>
      <x:c r="B36" s="166" t="n">
        <x:f>$B$33*$F$7*$B$35</x:f>
        <x:v>24739011624960</x:v>
      </x:c>
      <x:c r="C36" s="166" t="str">
        <x:v>padded tokens × linear layers × Delta FLOPs/token/layer</x:v>
      </x:c>
      <x:c r="D36" s="125"/>
      <x:c r="E36" s="169" t="str">
        <x:v>Delta share</x:v>
      </x:c>
      <x:c r="F36" s="170" t="n">
        <x:f>($F$29+$F$30)/$F$32</x:f>
        <x:v>0.18268460739460352</x:v>
      </x:c>
      <x:c r="G36" s="170" t="str">
        <x:v>Delta total / Total TTFT</x:v>
      </x:c>
      <x:c r="H36" s="146"/>
      <x:c r="I36" s="125"/>
      <x:c r="J36" s="125"/>
      <x:c r="K36" s="125"/>
      <x:c r="L36" s="147"/>
      <x:c r="M36" s="126"/>
      <x:c r="N36" s="126"/>
    </x:row>
    <x:row r="37">
      <x:c r="A37" s="160" t="str">
        <x:v>Total model linear arithmetic FLOPs / batch</x:v>
      </x:c>
      <x:c r="B37" s="166" t="n">
        <x:f>$B$6*$B$7*$B$29</x:f>
        <x:v>49869939015680</x:v>
      </x:c>
      <x:c r="C37" s="166" t="str">
        <x:v>B·S·Total linear FLOPs/token</x:v>
      </x:c>
      <x:c r="D37" s="125"/>
      <x:c r="E37" s="125"/>
      <x:c r="F37" s="145"/>
      <x:c r="G37" s="145"/>
      <x:c r="H37" s="146"/>
      <x:c r="I37" s="125"/>
      <x:c r="J37" s="125"/>
      <x:c r="K37" s="125"/>
      <x:c r="L37" s="147"/>
      <x:c r="M37" s="126"/>
      <x:c r="N37" s="126"/>
    </x:row>
    <x:row r="38" ht="22" customHeight="1">
      <x:c r="A38" s="159" t="str">
        <x:v>Total full-attention quadratic FLOPs / batch</x:v>
      </x:c>
      <x:c r="B38" s="171" t="n">
        <x:f>$B$6*$B$7^2*$B$30</x:f>
        <x:v>412316860416</x:v>
      </x:c>
      <x:c r="C38" s="171" t="str">
        <x:v>B·S²·Total quadratic coefficient</x:v>
      </x:c>
      <x:c r="D38" s="171" t="str">
        <x:v>Base serialized TTFT ms</x:v>
      </x:c>
      <x:c r="E38" s="171" t="str">
        <x:v>Delta arithmetic ms</x:v>
      </x:c>
      <x:c r="F38" s="172" t="str">
        <x:v>Delta fixed ms</x:v>
      </x:c>
      <x:c r="G38" s="172" t="str">
        <x:v>Total TTFT ms</x:v>
      </x:c>
      <x:c r="H38" s="173" t="str">
        <x:v>Chunks / batch</x:v>
      </x:c>
      <x:c r="I38" s="171" t="str">
        <x:v>Compute share</x:v>
      </x:c>
      <x:c r="J38" s="171" t="str">
        <x:v>TP share</x:v>
      </x:c>
      <x:c r="K38" s="171" t="str">
        <x:v>Delta share</x:v>
      </x:c>
      <x:c r="L38" s="172" t="str">
        <x:v>Quadratic compute ms</x:v>
      </x:c>
      <x:c r="M38" s="126"/>
      <x:c r="N38" s="126"/>
    </x:row>
    <x:row r="39" ht="22" customHeight="1">
      <x:c r="A39" s="81"/>
      <x:c r="B39" s="166"/>
      <x:c r="C39" s="166"/>
      <x:c r="D39" s="166"/>
      <x:c r="E39" s="166"/>
      <x:c r="F39" s="166"/>
      <x:c r="G39" s="166"/>
      <x:c r="H39" s="174"/>
      <x:c r="I39" s="170"/>
      <x:c r="J39" s="170"/>
      <x:c r="K39" s="170"/>
      <x:c r="L39" s="182"/>
      <x:c r="M39" s="126"/>
      <x:c r="N39" s="126"/>
    </x:row>
    <x:row r="40" ht="22" customHeight="1">
      <x:c r="A40" s="81"/>
      <x:c r="B40" s="166"/>
      <x:c r="C40" s="166"/>
      <x:c r="D40" s="166"/>
      <x:c r="E40" s="166"/>
      <x:c r="F40" s="166"/>
      <x:c r="G40" s="166"/>
      <x:c r="H40" s="174"/>
      <x:c r="I40" s="170"/>
      <x:c r="J40" s="170"/>
      <x:c r="K40" s="170"/>
      <x:c r="L40" s="182"/>
      <x:c r="M40" s="126"/>
      <x:c r="N40" s="126"/>
    </x:row>
    <x:row r="41" ht="22" customHeight="1">
      <x:c r="A41" s="159" t="str">
        <x:v>Prompt tokens / request</x:v>
      </x:c>
      <x:c r="B41" s="171" t="str">
        <x:v>Compute ms</x:v>
      </x:c>
      <x:c r="C41" s="171" t="str">
        <x:v>TP comm ms</x:v>
      </x:c>
      <x:c r="D41" s="171" t="str">
        <x:v>Base serialized TTFT ms</x:v>
      </x:c>
      <x:c r="E41" s="171" t="str">
        <x:v>Delta arithmetic ms</x:v>
      </x:c>
      <x:c r="F41" s="171" t="str">
        <x:v>Delta fixed ms</x:v>
      </x:c>
      <x:c r="G41" s="171" t="str">
        <x:v>Total TTFT ms</x:v>
      </x:c>
      <x:c r="H41" s="173" t="str">
        <x:v>Chunks / batch</x:v>
      </x:c>
      <x:c r="I41" s="172" t="str">
        <x:v>Compute share</x:v>
      </x:c>
      <x:c r="J41" s="172" t="str">
        <x:v>TP share</x:v>
      </x:c>
      <x:c r="K41" s="172" t="str">
        <x:v>Delta share</x:v>
      </x:c>
      <x:c r="L41" s="171" t="str">
        <x:v>Quadratic compute ms</x:v>
      </x:c>
      <x:c r="M41" s="126"/>
      <x:c r="N41" s="126"/>
    </x:row>
    <x:row r="42" ht="22" customHeight="1">
      <x:c r="A42" s="81" t="n">
        <x:v>128</x:v>
      </x:c>
      <x:c r="B42" s="166" t="n">
        <x:f>(($B$6*A42*$B$29)+($B$6*A42^2*$B$30))/($B$8*$B$9*10^12)*1000</x:f>
        <x:v>10.400308046506668</x:v>
      </x:c>
      <x:c r="C42" s="166" t="n">
        <x:f>$B$6*A42*$B$32/($B$11*10^9)*1000</x:f>
        <x:v>12.582912</x:v>
      </x:c>
      <x:c r="D42" s="166" t="n">
        <x:f>B42+C42</x:f>
        <x:v>22.983220046506666</x:v>
      </x:c>
      <x:c r="E42" s="166" t="n">
        <x:f>($B$6*(ROUNDUP(A42/$B$13,0)*$B$13)*$F$7*$B$35)/($B$8*$B$14*10^12)*1000</x:f>
        <x:v>5.1539607552</x:v>
      </x:c>
      <x:c r="F42" s="166" t="n">
        <x:f>$B$6*ROUNDUP(A42/$B$13,0)*$F$7*$B$15/1000</x:f>
        <x:v>0</x:v>
      </x:c>
      <x:c r="G42" s="166" t="n">
        <x:f>D42+E42+F42</x:f>
        <x:v>28.137180801706666</x:v>
      </x:c>
      <x:c r="H42" s="174" t="n">
        <x:f>$B$6*ROUNDUP(A42/$B$13,0)</x:f>
        <x:v>2</x:v>
      </x:c>
      <x:c r="I42" s="170" t="n">
        <x:f>B42/D42</x:f>
        <x:v>0.45251744644404</x:v>
      </x:c>
      <x:c r="J42" s="170" t="n">
        <x:f>C42/D42</x:f>
        <x:v>0.5474825535559601</x:v>
      </x:c>
      <x:c r="K42" s="170" t="n">
        <x:f>(E42+F42)/G42</x:f>
        <x:v>0.1831726067910608</x:v>
      </x:c>
      <x:c r="L42" s="182" t="n">
        <x:f>($B$6*A42^2*$B$30)/($B$8*$B$9*10^12)*1000</x:f>
        <x:v>0.01073741824</x:v>
      </x:c>
      <x:c r="M42" s="126"/>
      <x:c r="N42" s="126"/>
    </x:row>
    <x:row r="43" ht="22" customHeight="1">
      <x:c r="A43" s="81" t="n">
        <x:v>256</x:v>
      </x:c>
      <x:c r="B43" s="166" t="n">
        <x:f>(($B$6*A43*$B$29)+($B$6*A43^2*$B$30))/($B$8*$B$9*10^12)*1000</x:f>
        <x:v>20.822090929493335</x:v>
      </x:c>
      <x:c r="C43" s="166" t="n">
        <x:f>$B$6*A43*$B$32/($B$11*10^9)*1000</x:f>
        <x:v>25.165824</x:v>
      </x:c>
      <x:c r="D43" s="166" t="n">
        <x:f>B43+C43</x:f>
        <x:v>45.987914929493336</x:v>
      </x:c>
      <x:c r="E43" s="166" t="n">
        <x:f>($B$6*(ROUNDUP(A43/$B$13,0)*$B$13)*$F$7*$B$35)/($B$8*$B$14*10^12)*1000</x:f>
        <x:v>10.3079215104</x:v>
      </x:c>
      <x:c r="F43" s="166" t="n">
        <x:f>$B$6*ROUNDUP(A43/$B$13,0)*$F$7*$B$15/1000</x:f>
        <x:v>0</x:v>
      </x:c>
      <x:c r="G43" s="166" t="n">
        <x:f>D43+E43+F43</x:f>
        <x:v>56.295836439893336</x:v>
      </x:c>
      <x:c r="H43" s="174" t="n">
        <x:f>$B$6*ROUNDUP(A43/$B$13,0)</x:f>
        <x:v>4</x:v>
      </x:c>
      <x:c r="I43" s="170" t="n">
        <x:f>B43/D43</x:f>
        <x:v>0.4527731027035441</x:v>
      </x:c>
      <x:c r="J43" s="170" t="n">
        <x:f>C43/D43</x:f>
        <x:v>0.5472268972964559</x:v>
      </x:c>
      <x:c r="K43" s="170" t="n">
        <x:f>(E43+F43)/G43</x:f>
        <x:v>0.18310273303081115</x:v>
      </x:c>
      <x:c r="L43" s="182" t="n">
        <x:f>($B$6*A43^2*$B$30)/($B$8*$B$9*10^12)*1000</x:f>
        <x:v>0.04294967296</x:v>
      </x:c>
      <x:c r="M43" s="126"/>
      <x:c r="N43" s="126"/>
    </x:row>
    <x:row r="44" ht="22" customHeight="1">
      <x:c r="A44" s="81" t="n">
        <x:v>384</x:v>
      </x:c>
      <x:c r="B44" s="166" t="n">
        <x:f>(($B$6*A44*$B$29)+($B$6*A44^2*$B$30))/($B$8*$B$9*10^12)*1000</x:f>
        <x:v>31.265348648960003</x:v>
      </x:c>
      <x:c r="C44" s="166" t="n">
        <x:f>$B$6*A44*$B$32/($B$11*10^9)*1000</x:f>
        <x:v>37.748736</x:v>
      </x:c>
      <x:c r="D44" s="166" t="n">
        <x:f>B44+C44</x:f>
        <x:v>69.01408464896001</x:v>
      </x:c>
      <x:c r="E44" s="166" t="n">
        <x:f>($B$6*(ROUNDUP(A44/$B$13,0)*$B$13)*$F$7*$B$35)/($B$8*$B$14*10^12)*1000</x:f>
        <x:v>15.4618822656</x:v>
      </x:c>
      <x:c r="F44" s="166" t="n">
        <x:f>$B$6*ROUNDUP(A44/$B$13,0)*$F$7*$B$15/1000</x:f>
        <x:v>0</x:v>
      </x:c>
      <x:c r="G44" s="166" t="n">
        <x:f>D44+E44+F44</x:f>
        <x:v>84.47596691456</x:v>
      </x:c>
      <x:c r="H44" s="174" t="n">
        <x:f>$B$6*ROUNDUP(A44/$B$13,0)</x:f>
        <x:v>6</x:v>
      </x:c>
      <x:c r="I44" s="170" t="n">
        <x:f>B44/D44</x:f>
        <x:v>0.4530285203084433</x:v>
      </x:c>
      <x:c r="J44" s="170" t="n">
        <x:f>C44/D44</x:f>
        <x:v>0.5469714796915567</x:v>
      </x:c>
      <x:c r="K44" s="170" t="n">
        <x:f>(E44+F44)/G44</x:f>
        <x:v>0.1830329125588859</x:v>
      </x:c>
      <x:c r="L44" s="182" t="n">
        <x:f>($B$6*A44^2*$B$30)/($B$8*$B$9*10^12)*1000</x:f>
        <x:v>0.09663676416</x:v>
      </x:c>
      <x:c r="M44" s="126"/>
      <x:c r="N44" s="126"/>
    </x:row>
    <x:row r="45" ht="22" customHeight="1">
      <x:c r="A45" s="81" t="n">
        <x:v>512</x:v>
      </x:c>
      <x:c r="B45" s="166" t="n">
        <x:f>(($B$6*A45*$B$29)+($B$6*A45^2*$B$30))/($B$8*$B$9*10^12)*1000</x:f>
        <x:v>41.73008120490666</x:v>
      </x:c>
      <x:c r="C45" s="166" t="n">
        <x:f>$B$6*A45*$B$32/($B$11*10^9)*1000</x:f>
        <x:v>50.331648</x:v>
      </x:c>
      <x:c r="D45" s="166" t="n">
        <x:f>B45+C45</x:f>
        <x:v>92.06172920490667</x:v>
      </x:c>
      <x:c r="E45" s="166" t="n">
        <x:f>($B$6*(ROUNDUP(A45/$B$13,0)*$B$13)*$F$7*$B$35)/($B$8*$B$14*10^12)*1000</x:f>
        <x:v>20.6158430208</x:v>
      </x:c>
      <x:c r="F45" s="166" t="n">
        <x:f>$B$6*ROUNDUP(A45/$B$13,0)*$F$7*$B$15/1000</x:f>
        <x:v>0</x:v>
      </x:c>
      <x:c r="G45" s="166" t="n">
        <x:f>D45+E45+F45</x:f>
        <x:v>112.67757222570667</x:v>
      </x:c>
      <x:c r="H45" s="174" t="n">
        <x:f>$B$6*ROUNDUP(A45/$B$13,0)</x:f>
        <x:v>8</x:v>
      </x:c>
      <x:c r="I45" s="170" t="n">
        <x:f>B45/D45</x:f>
        <x:v>0.45328369959275705</x:v>
      </x:c>
      <x:c r="J45" s="170" t="n">
        <x:f>C45/D45</x:f>
        <x:v>0.546716300407243</x:v>
      </x:c>
      <x:c r="K45" s="170" t="n">
        <x:f>(E45+F45)/G45</x:f>
        <x:v>0.1829631453143488</x:v>
      </x:c>
      <x:c r="L45" s="182" t="n">
        <x:f>($B$6*A45^2*$B$30)/($B$8*$B$9*10^12)*1000</x:f>
        <x:v>0.17179869184</x:v>
      </x:c>
      <x:c r="M45" s="126"/>
      <x:c r="N45" s="126"/>
    </x:row>
    <x:row r="46" ht="22" customHeight="1">
      <x:c r="A46" s="81" t="n">
        <x:v>640</x:v>
      </x:c>
      <x:c r="B46" s="166" t="n">
        <x:f>(($B$6*A46*$B$29)+($B$6*A46^2*$B$30))/($B$8*$B$9*10^12)*1000</x:f>
        <x:v>52.21628859733333</x:v>
      </x:c>
      <x:c r="C46" s="166" t="n">
        <x:f>$B$6*A46*$B$32/($B$11*10^9)*1000</x:f>
        <x:v>62.914559999999994</x:v>
      </x:c>
      <x:c r="D46" s="166" t="n">
        <x:f>B46+C46</x:f>
        <x:v>115.13084859733333</x:v>
      </x:c>
      <x:c r="E46" s="166" t="n">
        <x:f>($B$6*(ROUNDUP(A46/$B$13,0)*$B$13)*$F$7*$B$35)/($B$8*$B$14*10^12)*1000</x:f>
        <x:v>25.769803776</x:v>
      </x:c>
      <x:c r="F46" s="166" t="n">
        <x:f>$B$6*ROUNDUP(A46/$B$13,0)*$F$7*$B$15/1000</x:f>
        <x:v>0</x:v>
      </x:c>
      <x:c r="G46" s="166" t="n">
        <x:f>D46+E46+F46</x:f>
        <x:v>140.90065237333332</x:v>
      </x:c>
      <x:c r="H46" s="174" t="n">
        <x:f>$B$6*ROUNDUP(A46/$B$13,0)</x:f>
        <x:v>10</x:v>
      </x:c>
      <x:c r="I46" s="170" t="n">
        <x:f>B46/D46</x:f>
        <x:v>0.453538640889882</x:v>
      </x:c>
      <x:c r="J46" s="170" t="n">
        <x:f>C46/D46</x:f>
        <x:v>0.5464613591101181</x:v>
      </x:c>
      <x:c r="K46" s="170" t="n">
        <x:f>(E46+F46)/G46</x:f>
        <x:v>0.18289343123635643</x:v>
      </x:c>
      <x:c r="L46" s="182" t="n">
        <x:f>($B$6*A46^2*$B$30)/($B$8*$B$9*10^12)*1000</x:f>
        <x:v>0.268435456</x:v>
      </x:c>
      <x:c r="M46" s="126"/>
      <x:c r="N46" s="126"/>
    </x:row>
    <x:row r="47" ht="22" customHeight="1">
      <x:c r="A47" s="81" t="n">
        <x:v>768</x:v>
      </x:c>
      <x:c r="B47" s="166" t="n">
        <x:f>(($B$6*A47*$B$29)+($B$6*A47^2*$B$30))/($B$8*$B$9*10^12)*1000</x:f>
        <x:v>62.72397082624</x:v>
      </x:c>
      <x:c r="C47" s="166" t="n">
        <x:f>$B$6*A47*$B$32/($B$11*10^9)*1000</x:f>
        <x:v>75.497472</x:v>
      </x:c>
      <x:c r="D47" s="166" t="n">
        <x:f>B47+C47</x:f>
        <x:v>138.22144282624</x:v>
      </x:c>
      <x:c r="E47" s="166" t="n">
        <x:f>($B$6*(ROUNDUP(A47/$B$13,0)*$B$13)*$F$7*$B$35)/($B$8*$B$14*10^12)*1000</x:f>
        <x:v>30.9237645312</x:v>
      </x:c>
      <x:c r="F47" s="166" t="n">
        <x:f>$B$6*ROUNDUP(A47/$B$13,0)*$F$7*$B$15/1000</x:f>
        <x:v>0</x:v>
      </x:c>
      <x:c r="G47" s="166" t="n">
        <x:f>D47+E47+F47</x:f>
        <x:v>169.14520735744</x:v>
      </x:c>
      <x:c r="H47" s="174" t="n">
        <x:f>$B$6*ROUNDUP(A47/$B$13,0)</x:f>
        <x:v>12</x:v>
      </x:c>
      <x:c r="I47" s="170" t="n">
        <x:f>B47/D47</x:f>
        <x:v>0.45379334453259274</x:v>
      </x:c>
      <x:c r="J47" s="170" t="n">
        <x:f>C47/D47</x:f>
        <x:v>0.5462066554674072</x:v>
      </x:c>
      <x:c r="K47" s="170" t="n">
        <x:f>(E47+F47)/G47</x:f>
        <x:v>0.18282377026415814</x:v>
      </x:c>
      <x:c r="L47" s="182" t="n">
        <x:f>($B$6*A47^2*$B$30)/($B$8*$B$9*10^12)*1000</x:f>
        <x:v>0.38654705664</x:v>
      </x:c>
      <x:c r="M47" s="126"/>
      <x:c r="N47" s="126"/>
    </x:row>
    <x:row r="48" ht="22" customHeight="1">
      <x:c r="A48" s="81" t="n">
        <x:v>896</x:v>
      </x:c>
      <x:c r="B48" s="166" t="n">
        <x:f>(($B$6*A48*$B$29)+($B$6*A48^2*$B$30))/($B$8*$B$9*10^12)*1000</x:f>
        <x:v>73.25312789162666</x:v>
      </x:c>
      <x:c r="C48" s="166" t="n">
        <x:f>$B$6*A48*$B$32/($B$11*10^9)*1000</x:f>
        <x:v>88.080384</x:v>
      </x:c>
      <x:c r="D48" s="166" t="n">
        <x:f>B48+C48</x:f>
        <x:v>161.33351189162664</x:v>
      </x:c>
      <x:c r="E48" s="166" t="n">
        <x:f>($B$6*(ROUNDUP(A48/$B$13,0)*$B$13)*$F$7*$B$35)/($B$8*$B$14*10^12)*1000</x:f>
        <x:v>36.077725286399996</x:v>
      </x:c>
      <x:c r="F48" s="166" t="n">
        <x:f>$B$6*ROUNDUP(A48/$B$13,0)*$F$7*$B$15/1000</x:f>
        <x:v>0</x:v>
      </x:c>
      <x:c r="G48" s="166" t="n">
        <x:f>D48+E48+F48</x:f>
        <x:v>197.41123717802662</x:v>
      </x:c>
      <x:c r="H48" s="174" t="n">
        <x:f>$B$6*ROUNDUP(A48/$B$13,0)</x:f>
        <x:v>14</x:v>
      </x:c>
      <x:c r="I48" s="170" t="n">
        <x:f>B48/D48</x:f>
        <x:v>0.45404781085304424</x:v>
      </x:c>
      <x:c r="J48" s="170" t="n">
        <x:f>C48/D48</x:f>
        <x:v>0.5459521891469559</x:v>
      </x:c>
      <x:c r="K48" s="170" t="n">
        <x:f>(E48+F48)/G48</x:f>
        <x:v>0.1827541623370958</x:v>
      </x:c>
      <x:c r="L48" s="182" t="n">
        <x:f>($B$6*A48^2*$B$30)/($B$8*$B$9*10^12)*1000</x:f>
        <x:v>0.5261334937600001</x:v>
      </x:c>
      <x:c r="M48" s="126"/>
      <x:c r="N48" s="126"/>
    </x:row>
    <x:row r="49" ht="22" customHeight="1">
      <x:c r="A49" s="81" t="n">
        <x:v>1024</x:v>
      </x:c>
      <x:c r="B49" s="166" t="n">
        <x:f>(($B$6*A49*$B$29)+($B$6*A49^2*$B$30))/($B$8*$B$9*10^12)*1000</x:f>
        <x:v>83.80375979349333</x:v>
      </x:c>
      <x:c r="C49" s="166" t="n">
        <x:f>$B$6*A49*$B$32/($B$11*10^9)*1000</x:f>
        <x:v>100.663296</x:v>
      </x:c>
      <x:c r="D49" s="166" t="n">
        <x:f>B49+C49</x:f>
        <x:v>184.46705579349333</x:v>
      </x:c>
      <x:c r="E49" s="166" t="n">
        <x:f>($B$6*(ROUNDUP(A49/$B$13,0)*$B$13)*$F$7*$B$35)/($B$8*$B$14*10^12)*1000</x:f>
        <x:v>41.2316860416</x:v>
      </x:c>
      <x:c r="F49" s="166" t="n">
        <x:f>$B$6*ROUNDUP(A49/$B$13,0)*$F$7*$B$15/1000</x:f>
        <x:v>0</x:v>
      </x:c>
      <x:c r="G49" s="166" t="n">
        <x:f>D49+E49+F49</x:f>
        <x:v>225.69874183509333</x:v>
      </x:c>
      <x:c r="H49" s="174" t="n">
        <x:f>$B$6*ROUNDUP(A49/$B$13,0)</x:f>
        <x:v>16</x:v>
      </x:c>
      <x:c r="I49" s="170" t="n">
        <x:f>B49/D49</x:f>
        <x:v>0.4543020401827724</x:v>
      </x:c>
      <x:c r="J49" s="170" t="n">
        <x:f>C49/D49</x:f>
        <x:v>0.5456979598172276</x:v>
      </x:c>
      <x:c r="K49" s="170" t="n">
        <x:f>(E49+F49)/G49</x:f>
        <x:v>0.18268460739460352</x:v>
      </x:c>
      <x:c r="L49" s="182" t="n">
        <x:f>($B$6*A49^2*$B$30)/($B$8*$B$9*10^12)*1000</x:f>
        <x:v>0.68719476736</x:v>
      </x:c>
      <x:c r="M49" s="126"/>
      <x:c r="N49" s="126"/>
    </x:row>
    <x:row r="50" ht="22" customHeight="1">
      <x:c r="A50" s="81" t="n">
        <x:v>1152</x:v>
      </x:c>
      <x:c r="B50" s="166" t="n">
        <x:f>(($B$6*A50*$B$29)+($B$6*A50^2*$B$30))/($B$8*$B$9*10^12)*1000</x:f>
        <x:v>94.37586653184</x:v>
      </x:c>
      <x:c r="C50" s="166" t="n">
        <x:f>$B$6*A50*$B$32/($B$11*10^9)*1000</x:f>
        <x:v>113.246208</x:v>
      </x:c>
      <x:c r="D50" s="166" t="n">
        <x:f>B50+C50</x:f>
        <x:v>207.62207453183998</x:v>
      </x:c>
      <x:c r="E50" s="166" t="n">
        <x:f>($B$6*(ROUNDUP(A50/$B$13,0)*$B$13)*$F$7*$B$35)/($B$8*$B$14*10^12)*1000</x:f>
        <x:v>46.385646796799996</x:v>
      </x:c>
      <x:c r="F50" s="166" t="n">
        <x:f>$B$6*ROUNDUP(A50/$B$13,0)*$F$7*$B$15/1000</x:f>
        <x:v>0</x:v>
      </x:c>
      <x:c r="G50" s="166" t="n">
        <x:f>D50+E50+F50</x:f>
        <x:v>254.00772132863997</x:v>
      </x:c>
      <x:c r="H50" s="174" t="n">
        <x:f>$B$6*ROUNDUP(A50/$B$13,0)</x:f>
        <x:v>18</x:v>
      </x:c>
      <x:c r="I50" s="170" t="n">
        <x:f>B50/D50</x:f>
        <x:v>0.45455603285269625</x:v>
      </x:c>
      <x:c r="J50" s="170" t="n">
        <x:f>C50/D50</x:f>
        <x:v>0.5454439671473038</x:v>
      </x:c>
      <x:c r="K50" s="170" t="n">
        <x:f>(E50+F50)/G50</x:f>
        <x:v>0.18261510537620773</x:v>
      </x:c>
      <x:c r="L50" s="182" t="n">
        <x:f>($B$6*A50^2*$B$30)/($B$8*$B$9*10^12)*1000</x:f>
        <x:v>0.86973087744</x:v>
      </x:c>
      <x:c r="M50" s="126"/>
      <x:c r="N50" s="126"/>
    </x:row>
    <x:row r="51" ht="22" customHeight="1">
      <x:c r="A51" s="81" t="n">
        <x:v>1280</x:v>
      </x:c>
      <x:c r="B51" s="166" t="n">
        <x:f>(($B$6*A51*$B$29)+($B$6*A51^2*$B$30))/($B$8*$B$9*10^12)*1000</x:f>
        <x:v>104.96944810666668</x:v>
      </x:c>
      <x:c r="C51" s="166" t="n">
        <x:f>$B$6*A51*$B$32/($B$11*10^9)*1000</x:f>
        <x:v>125.82911999999999</x:v>
      </x:c>
      <x:c r="D51" s="166" t="n">
        <x:f>B51+C51</x:f>
        <x:v>230.79856810666666</x:v>
      </x:c>
      <x:c r="E51" s="166" t="n">
        <x:f>($B$6*(ROUNDUP(A51/$B$13,0)*$B$13)*$F$7*$B$35)/($B$8*$B$14*10^12)*1000</x:f>
        <x:v>51.539607552</x:v>
      </x:c>
      <x:c r="F51" s="166" t="n">
        <x:f>$B$6*ROUNDUP(A51/$B$13,0)*$F$7*$B$15/1000</x:f>
        <x:v>0</x:v>
      </x:c>
      <x:c r="G51" s="166" t="n">
        <x:f>D51+E51+F51</x:f>
        <x:v>282.33817565866667</x:v>
      </x:c>
      <x:c r="H51" s="174" t="n">
        <x:f>$B$6*ROUNDUP(A51/$B$13,0)</x:f>
        <x:v>20</x:v>
      </x:c>
      <x:c r="I51" s="170" t="n">
        <x:f>B51/D51</x:f>
        <x:v>0.45480978919311854</x:v>
      </x:c>
      <x:c r="J51" s="170" t="n">
        <x:f>C51/D51</x:f>
        <x:v>0.5451902108068815</x:v>
      </x:c>
      <x:c r="K51" s="170" t="n">
        <x:f>(E51+F51)/G51</x:f>
        <x:v>0.18254565622152674</x:v>
      </x:c>
      <x:c r="L51" s="182" t="n">
        <x:f>($B$6*A51^2*$B$30)/($B$8*$B$9*10^12)*1000</x:f>
        <x:v>1.073741824</x:v>
      </x:c>
      <x:c r="M51" s="126"/>
      <x:c r="N51" s="126"/>
    </x:row>
    <x:row r="52" ht="22" customHeight="1">
      <x:c r="A52" s="81" t="n">
        <x:v>1536</x:v>
      </x:c>
      <x:c r="B52" s="166" t="n">
        <x:f>(($B$6*A52*$B$29)+($B$6*A52^2*$B$30))/($B$8*$B$9*10^12)*1000</x:f>
        <x:v>126.22103576575999</x:v>
      </x:c>
      <x:c r="C52" s="166" t="n">
        <x:f>$B$6*A52*$B$32/($B$11*10^9)*1000</x:f>
        <x:v>150.994944</x:v>
      </x:c>
      <x:c r="D52" s="166" t="n">
        <x:f>B52+C52</x:f>
        <x:v>277.21597976576</x:v>
      </x:c>
      <x:c r="E52" s="166" t="n">
        <x:f>($B$6*(ROUNDUP(A52/$B$13,0)*$B$13)*$F$7*$B$35)/($B$8*$B$14*10^12)*1000</x:f>
        <x:v>61.8475290624</x:v>
      </x:c>
      <x:c r="F52" s="166" t="n">
        <x:f>$B$6*ROUNDUP(A52/$B$13,0)*$F$7*$B$15/1000</x:f>
        <x:v>0</x:v>
      </x:c>
      <x:c r="G52" s="166" t="n">
        <x:f>D52+E52+F52</x:f>
        <x:v>339.06350882815997</x:v>
      </x:c>
      <x:c r="H52" s="174" t="n">
        <x:f>$B$6*ROUNDUP(A52/$B$13,0)</x:f>
        <x:v>24</x:v>
      </x:c>
      <x:c r="I52" s="170" t="n">
        <x:f>B52/D52</x:f>
        <x:v>0.45531659420360027</x:v>
      </x:c>
      <x:c r="J52" s="170" t="n">
        <x:f>C52/D52</x:f>
        <x:v>0.5446834057963998</x:v>
      </x:c>
      <x:c r="K52" s="170" t="n">
        <x:f>(E52+F52)/G52</x:f>
        <x:v>0.18240691626224162</x:v>
      </x:c>
      <x:c r="L52" s="182" t="n">
        <x:f>($B$6*A52^2*$B$30)/($B$8*$B$9*10^12)*1000</x:f>
        <x:v>1.54618822656</x:v>
      </x:c>
      <x:c r="M52" s="126"/>
      <x:c r="N52" s="126"/>
    </x:row>
    <x:row r="53" ht="22" customHeight="1">
      <x:c r="A53" s="81" t="n">
        <x:v>2048</x:v>
      </x:c>
      <x:c r="B53" s="166" t="n">
        <x:f>(($B$6*A53*$B$29)+($B$6*A53^2*$B$30))/($B$8*$B$9*10^12)*1000</x:f>
        <x:v>168.98190912170665</x:v>
      </x:c>
      <x:c r="C53" s="166" t="n">
        <x:f>$B$6*A53*$B$32/($B$11*10^9)*1000</x:f>
        <x:v>201.326592</x:v>
      </x:c>
      <x:c r="D53" s="166" t="n">
        <x:f>B53+C53</x:f>
        <x:v>370.3085011217066</x:v>
      </x:c>
      <x:c r="E53" s="166" t="n">
        <x:f>($B$6*(ROUNDUP(A53/$B$13,0)*$B$13)*$F$7*$B$35)/($B$8*$B$14*10^12)*1000</x:f>
        <x:v>82.4633720832</x:v>
      </x:c>
      <x:c r="F53" s="170" t="n">
        <x:f>$B$6*ROUNDUP(A53/$B$13,0)*$F$7*$B$15/1000</x:f>
        <x:v>0</x:v>
      </x:c>
      <x:c r="G53" s="170" t="n">
        <x:f>D53+E53+F53</x:f>
        <x:v>452.7718732049066</x:v>
      </x:c>
      <x:c r="H53" s="174" t="n">
        <x:f>$B$6*ROUNDUP(A53/$B$13,0)</x:f>
        <x:v>32</x:v>
      </x:c>
      <x:c r="I53" s="166" t="n">
        <x:f>B53/D53</x:f>
        <x:v>0.45632738273585727</x:v>
      </x:c>
      <x:c r="J53" s="166" t="n">
        <x:f>C53/D53</x:f>
        <x:v>0.5436726172641428</x:v>
      </x:c>
      <x:c r="K53" s="166" t="n">
        <x:f>(E53+F53)/G53</x:f>
        <x:v>0.18213006806162702</x:v>
      </x:c>
      <x:c r="L53" s="175" t="n">
        <x:f>($B$6*A53^2*$B$30)/($B$8*$B$9*10^12)*1000</x:f>
        <x:v>2.74877906944</x:v>
      </x:c>
      <x:c r="M53" s="126"/>
      <x:c r="N53" s="126"/>
    </x:row>
    <x:row r="54" ht="22" customHeight="1">
      <x:c r="A54" s="81" t="n">
        <x:v>4096</x:v>
      </x:c>
      <x:c r="B54" s="166" t="n">
        <x:f>(($B$6*A54*$B$29)+($B$6*A54^2*$B$30))/($B$8*$B$9*10^12)*1000</x:f>
        <x:v>343.46137638229334</x:v>
      </x:c>
      <x:c r="C54" s="166" t="n">
        <x:f>$B$6*A54*$B$32/($B$11*10^9)*1000</x:f>
        <x:v>402.653184</x:v>
      </x:c>
      <x:c r="D54" s="166" t="n">
        <x:f>B54+C54</x:f>
        <x:v>746.1145603822933</x:v>
      </x:c>
      <x:c r="E54" s="166" t="n">
        <x:f>($B$6*(ROUNDUP(A54/$B$13,0)*$B$13)*$F$7*$B$35)/($B$8*$B$14*10^12)*1000</x:f>
        <x:v>164.9267441664</x:v>
      </x:c>
      <x:c r="F54" s="170" t="n">
        <x:f>$B$6*ROUNDUP(A54/$B$13,0)*$F$7*$B$15/1000</x:f>
        <x:v>0</x:v>
      </x:c>
      <x:c r="G54" s="170" t="n">
        <x:f>D54+E54+F54</x:f>
        <x:v>911.0413045486933</x:v>
      </x:c>
      <x:c r="H54" s="174" t="n">
        <x:f>$B$6*ROUNDUP(A54/$B$13,0)</x:f>
        <x:v>64</x:v>
      </x:c>
      <x:c r="I54" s="166" t="n">
        <x:f>B54/D54</x:f>
        <x:v>0.4603332981550594</x:v>
      </x:c>
      <x:c r="J54" s="166" t="n">
        <x:f>C54/D54</x:f>
        <x:v>0.5396667018449406</x:v>
      </x:c>
      <x:c r="K54" s="166" t="n">
        <x:f>(E54+F54)/G54</x:f>
        <x:v>0.1810310282782409</x:v>
      </x:c>
      <x:c r="L54" s="175" t="n">
        <x:f>($B$6*A54^2*$B$30)/($B$8*$B$9*10^12)*1000</x:f>
        <x:v>10.99511627776</x:v>
      </x:c>
      <x:c r="M54" s="126"/>
      <x:c r="N54" s="126"/>
    </x:row>
    <x:row r="55" ht="22" customHeight="1">
      <x:c r="A55" s="213" t="n">
        <x:v>8192</x:v>
      </x:c>
      <x:c r="B55" s="214" t="n">
        <x:f>(($B$6*A55*$B$29)+($B$6*A55^2*$B$30))/($B$8*$B$9*10^12)*1000</x:f>
        <x:v>708.9129853201067</x:v>
      </x:c>
      <x:c r="C55" s="166" t="n">
        <x:f>$B$6*A55*$B$32/($B$11*10^9)*1000</x:f>
        <x:v>805.306368</x:v>
      </x:c>
      <x:c r="D55" s="166" t="n">
        <x:f>B55+C55</x:f>
        <x:v>1514.2193533201066</x:v>
      </x:c>
      <x:c r="E55" s="166" t="n">
        <x:f>($B$6*(ROUNDUP(A55/$B$13,0)*$B$13)*$F$7*$B$35)/($B$8*$B$14*10^12)*1000</x:f>
        <x:v>329.8534883328</x:v>
      </x:c>
      <x:c r="F55" s="170" t="n">
        <x:f>$B$6*ROUNDUP(A55/$B$13,0)*$F$7*$B$15/1000</x:f>
        <x:v>0</x:v>
      </x:c>
      <x:c r="G55" s="170" t="n">
        <x:f>D55+E55+F55</x:f>
        <x:v>1844.0728416529066</x:v>
      </x:c>
      <x:c r="H55" s="174" t="n">
        <x:f>$B$6*ROUNDUP(A55/$B$13,0)</x:f>
        <x:v>128</x:v>
      </x:c>
      <x:c r="I55" s="166" t="n">
        <x:f>B55/D55</x:f>
        <x:v>0.46817060141632083</x:v>
      </x:c>
      <x:c r="J55" s="166" t="n">
        <x:f>C55/D55</x:f>
        <x:v>0.5318293985836793</x:v>
      </x:c>
      <x:c r="K55" s="166" t="n">
        <x:f>(E55+F55)/G55</x:f>
        <x:v>0.17887226625882133</x:v>
      </x:c>
      <x:c r="L55" s="175" t="n">
        <x:f>($B$6*A55^2*$B$30)/($B$8*$B$9*10^12)*1000</x:f>
        <x:v>43.98046511104</x:v>
      </x:c>
      <x:c r="M55" s="126"/>
      <x:c r="N55" s="126"/>
    </x:row>
    <x:row r="56">
      <x:c r="A56" s="124"/>
      <x:c r="B56" s="125"/>
      <x:c r="C56" s="125"/>
      <x:c r="D56" s="125"/>
      <x:c r="E56" s="125"/>
      <x:c r="F56" s="145"/>
      <x:c r="G56" s="145"/>
      <x:c r="H56" s="146"/>
      <x:c r="I56" s="125"/>
      <x:c r="J56" s="125"/>
      <x:c r="K56" s="125"/>
      <x:c r="L56" s="147"/>
      <x:c r="M56" s="126"/>
      <x:c r="N56" s="126"/>
    </x:row>
    <x:row r="57">
      <x:c r="A57" s="124"/>
      <x:c r="B57" s="125"/>
      <x:c r="C57" s="125"/>
      <x:c r="D57" s="125"/>
      <x:c r="E57" s="125"/>
      <x:c r="F57" s="145"/>
      <x:c r="G57" s="145"/>
      <x:c r="H57" s="146"/>
      <x:c r="I57" s="125"/>
      <x:c r="J57" s="125"/>
      <x:c r="K57" s="125"/>
      <x:c r="L57" s="147"/>
      <x:c r="M57" s="126"/>
      <x:c r="N57" s="126"/>
    </x:row>
    <x:row r="58">
      <x:c r="A58" s="124"/>
      <x:c r="B58" s="125"/>
      <x:c r="C58" s="125"/>
      <x:c r="D58" s="125"/>
      <x:c r="E58" s="125"/>
      <x:c r="F58" s="145"/>
      <x:c r="G58" s="145"/>
      <x:c r="H58" s="146"/>
      <x:c r="I58" s="125"/>
      <x:c r="J58" s="125"/>
      <x:c r="K58" s="125"/>
      <x:c r="L58" s="147"/>
      <x:c r="M58" s="126"/>
      <x:c r="N58" s="126"/>
    </x:row>
    <x:row r="59">
      <x:c r="A59" s="124"/>
      <x:c r="B59" s="125"/>
      <x:c r="C59" s="125"/>
      <x:c r="D59" s="125"/>
      <x:c r="E59" s="125"/>
      <x:c r="F59" s="145"/>
      <x:c r="G59" s="145"/>
      <x:c r="H59" s="146"/>
      <x:c r="I59" s="125"/>
      <x:c r="J59" s="125"/>
      <x:c r="K59" s="125"/>
      <x:c r="L59" s="147"/>
      <x:c r="M59" s="126"/>
      <x:c r="N59" s="126"/>
    </x:row>
    <x:row r="60">
      <x:c r="A60" s="124"/>
      <x:c r="B60" s="125"/>
      <x:c r="C60" s="125"/>
      <x:c r="D60" s="125"/>
      <x:c r="E60" s="125"/>
      <x:c r="F60" s="145"/>
      <x:c r="G60" s="145"/>
      <x:c r="H60" s="146"/>
      <x:c r="I60" s="125"/>
      <x:c r="J60" s="125"/>
      <x:c r="K60" s="125"/>
      <x:c r="L60" s="147"/>
      <x:c r="M60" s="126"/>
      <x:c r="N60" s="126"/>
    </x:row>
    <x:row r="61">
      <x:c r="A61" s="17"/>
      <x:c r="B61" s="22"/>
      <x:c r="C61" s="22"/>
      <x:c r="D61" s="22"/>
      <x:c r="E61" s="22"/>
      <x:c r="F61" s="26"/>
      <x:c r="G61" s="26"/>
      <x:c r="H61" s="48"/>
      <x:c r="I61" s="22"/>
      <x:c r="J61" s="22"/>
      <x:c r="K61" s="22"/>
      <x:c r="L61" s="27"/>
    </x:row>
    <x:row r="62">
      <x:c r="A62" s="17"/>
      <x:c r="B62" s="22"/>
      <x:c r="C62" s="22"/>
      <x:c r="D62" s="22"/>
      <x:c r="E62" s="22"/>
      <x:c r="F62" s="26"/>
      <x:c r="G62" s="26"/>
      <x:c r="H62" s="48"/>
      <x:c r="I62" s="22"/>
      <x:c r="J62" s="22"/>
      <x:c r="K62" s="22"/>
      <x:c r="L62" s="27"/>
    </x:row>
    <x:row r="63">
      <x:c r="A63" s="17"/>
      <x:c r="B63" s="22"/>
      <x:c r="C63" s="22"/>
      <x:c r="D63" s="22"/>
      <x:c r="E63" s="22"/>
      <x:c r="F63" s="26"/>
      <x:c r="G63" s="26"/>
      <x:c r="H63" s="48"/>
      <x:c r="I63" s="22"/>
      <x:c r="J63" s="22"/>
      <x:c r="K63" s="22"/>
      <x:c r="L63" s="27"/>
    </x:row>
    <x:row r="64">
      <x:c r="A64" s="17"/>
      <x:c r="B64" s="22"/>
      <x:c r="C64" s="22"/>
      <x:c r="D64" s="22"/>
      <x:c r="E64" s="22"/>
      <x:c r="F64" s="26"/>
      <x:c r="G64" s="26"/>
      <x:c r="H64" s="48"/>
      <x:c r="I64" s="22"/>
      <x:c r="J64" s="22"/>
      <x:c r="K64" s="22"/>
      <x:c r="L64" s="27"/>
    </x:row>
    <x:row r="65">
      <x:c r="A65" s="17"/>
      <x:c r="B65" s="22"/>
      <x:c r="C65" s="22"/>
      <x:c r="D65" s="22"/>
      <x:c r="E65" s="22"/>
      <x:c r="F65" s="26"/>
      <x:c r="G65" s="26"/>
      <x:c r="H65" s="48"/>
      <x:c r="I65" s="22"/>
      <x:c r="J65" s="22"/>
      <x:c r="K65" s="22"/>
      <x:c r="L65" s="27"/>
    </x:row>
    <x:row r="66">
      <x:c r="A66" s="17"/>
      <x:c r="B66" s="22"/>
      <x:c r="C66" s="22"/>
      <x:c r="D66" s="22"/>
      <x:c r="E66" s="22"/>
      <x:c r="F66" s="26"/>
      <x:c r="G66" s="26"/>
      <x:c r="H66" s="48"/>
      <x:c r="I66" s="22"/>
      <x:c r="J66" s="22"/>
      <x:c r="K66" s="22"/>
      <x:c r="L66" s="27"/>
    </x:row>
    <x:row r="67">
      <x:c r="A67" s="17"/>
      <x:c r="B67" s="22"/>
      <x:c r="C67" s="22"/>
      <x:c r="D67" s="22"/>
      <x:c r="E67" s="22"/>
      <x:c r="F67" s="26"/>
      <x:c r="G67" s="26"/>
      <x:c r="H67" s="48"/>
      <x:c r="I67" s="22"/>
      <x:c r="J67" s="22"/>
      <x:c r="K67" s="22"/>
      <x:c r="L67" s="27"/>
    </x:row>
    <x:row r="68">
      <x:c r="A68" s="17"/>
      <x:c r="B68" s="22"/>
      <x:c r="C68" s="22"/>
      <x:c r="D68" s="22"/>
      <x:c r="E68" s="22"/>
      <x:c r="F68" s="26"/>
      <x:c r="G68" s="26"/>
      <x:c r="H68" s="48"/>
      <x:c r="I68" s="22"/>
      <x:c r="J68" s="22"/>
      <x:c r="K68" s="22"/>
      <x:c r="L68" s="27"/>
    </x:row>
    <x:row r="69">
      <x:c r="A69" s="17"/>
      <x:c r="B69" s="22"/>
      <x:c r="C69" s="22"/>
      <x:c r="D69" s="22"/>
      <x:c r="E69" s="22"/>
      <x:c r="F69" s="26"/>
      <x:c r="G69" s="26"/>
      <x:c r="H69" s="48"/>
      <x:c r="I69" s="22"/>
      <x:c r="J69" s="22"/>
      <x:c r="K69" s="22"/>
      <x:c r="L69" s="27"/>
    </x:row>
    <x:row r="70">
      <x:c r="A70" s="17"/>
      <x:c r="B70" s="22"/>
      <x:c r="C70" s="22"/>
      <x:c r="D70" s="22"/>
      <x:c r="E70" s="22"/>
      <x:c r="F70" s="26"/>
      <x:c r="G70" s="26"/>
      <x:c r="H70" s="48"/>
      <x:c r="I70" s="22"/>
      <x:c r="J70" s="22"/>
      <x:c r="K70" s="22"/>
      <x:c r="L70" s="27"/>
    </x:row>
    <x:row r="71">
      <x:c r="A71" s="17"/>
      <x:c r="B71" s="22"/>
      <x:c r="C71" s="22"/>
      <x:c r="D71" s="22"/>
      <x:c r="E71" s="22"/>
      <x:c r="F71" s="26"/>
      <x:c r="G71" s="26"/>
      <x:c r="H71" s="48"/>
      <x:c r="I71" s="22"/>
      <x:c r="J71" s="22"/>
      <x:c r="K71" s="22"/>
      <x:c r="L71" s="27"/>
    </x:row>
    <x:row r="72">
      <x:c r="A72" s="17"/>
      <x:c r="B72" s="22"/>
      <x:c r="C72" s="22"/>
      <x:c r="D72" s="22"/>
      <x:c r="E72" s="22"/>
      <x:c r="F72" s="26"/>
      <x:c r="G72" s="26"/>
      <x:c r="H72" s="48"/>
      <x:c r="I72" s="22"/>
      <x:c r="J72" s="22"/>
      <x:c r="K72" s="22"/>
      <x:c r="L72" s="27"/>
    </x:row>
    <x:row r="73">
      <x:c r="A73" s="17"/>
      <x:c r="B73" s="22"/>
      <x:c r="C73" s="22"/>
      <x:c r="D73" s="22"/>
      <x:c r="E73" s="22"/>
      <x:c r="F73" s="26"/>
      <x:c r="G73" s="26"/>
      <x:c r="H73" s="48"/>
      <x:c r="I73" s="22"/>
      <x:c r="J73" s="22"/>
      <x:c r="K73" s="22"/>
      <x:c r="L73" s="27"/>
    </x:row>
    <x:row r="74">
      <x:c r="A74" s="17"/>
      <x:c r="B74" s="22"/>
      <x:c r="C74" s="22"/>
      <x:c r="D74" s="22"/>
      <x:c r="E74" s="22"/>
      <x:c r="F74" s="26"/>
      <x:c r="G74" s="26"/>
      <x:c r="H74" s="48"/>
      <x:c r="I74" s="22"/>
      <x:c r="J74" s="22"/>
      <x:c r="K74" s="22"/>
      <x:c r="L74" s="27"/>
    </x:row>
    <x:row r="75">
      <x:c r="A75" s="17"/>
      <x:c r="B75" s="22"/>
      <x:c r="C75" s="22"/>
      <x:c r="D75" s="22"/>
      <x:c r="E75" s="22"/>
      <x:c r="F75" s="26"/>
      <x:c r="G75" s="26"/>
      <x:c r="H75" s="48"/>
      <x:c r="I75" s="22"/>
      <x:c r="J75" s="22"/>
      <x:c r="K75" s="22"/>
      <x:c r="L75" s="27"/>
    </x:row>
    <x:row r="76">
      <x:c r="A76" s="17"/>
      <x:c r="B76" s="22"/>
      <x:c r="C76" s="22"/>
      <x:c r="D76" s="22"/>
      <x:c r="E76" s="22"/>
      <x:c r="F76" s="26"/>
      <x:c r="G76" s="26"/>
      <x:c r="H76" s="48"/>
      <x:c r="I76" s="22"/>
      <x:c r="J76" s="22"/>
      <x:c r="K76" s="22"/>
      <x:c r="L76" s="27"/>
    </x:row>
    <x:row r="77">
      <x:c r="A77" s="17"/>
      <x:c r="B77" s="22"/>
      <x:c r="C77" s="22"/>
      <x:c r="D77" s="22"/>
      <x:c r="E77" s="22"/>
      <x:c r="F77" s="26"/>
      <x:c r="G77" s="26"/>
      <x:c r="H77" s="48"/>
      <x:c r="I77" s="22"/>
      <x:c r="J77" s="22"/>
      <x:c r="K77" s="22"/>
      <x:c r="L77" s="27"/>
    </x:row>
    <x:row r="78">
      <x:c r="A78" s="17"/>
      <x:c r="B78" s="22"/>
      <x:c r="C78" s="22"/>
      <x:c r="D78" s="22"/>
      <x:c r="E78" s="22"/>
      <x:c r="F78" s="26"/>
      <x:c r="G78" s="26"/>
      <x:c r="H78" s="48"/>
      <x:c r="I78" s="22"/>
      <x:c r="J78" s="22"/>
      <x:c r="K78" s="22"/>
      <x:c r="L78" s="27"/>
    </x:row>
    <x:row r="79">
      <x:c r="A79" s="17"/>
      <x:c r="B79" s="22"/>
      <x:c r="C79" s="22"/>
      <x:c r="D79" s="22"/>
      <x:c r="E79" s="22"/>
      <x:c r="F79" s="26"/>
      <x:c r="G79" s="26"/>
      <x:c r="H79" s="48"/>
      <x:c r="I79" s="22"/>
      <x:c r="J79" s="22"/>
      <x:c r="K79" s="22"/>
      <x:c r="L79" s="27"/>
    </x:row>
    <x:row r="80">
      <x:c r="A80" s="17"/>
      <x:c r="B80" s="22"/>
      <x:c r="C80" s="22"/>
      <x:c r="D80" s="22"/>
      <x:c r="E80" s="22"/>
      <x:c r="F80" s="26"/>
      <x:c r="G80" s="26"/>
      <x:c r="H80" s="48"/>
      <x:c r="I80" s="22"/>
      <x:c r="J80" s="22"/>
      <x:c r="K80" s="22"/>
      <x:c r="L80" s="27"/>
    </x:row>
    <x:row r="81">
      <x:c r="A81"/>
      <x:c r="B81" s="23"/>
      <x:c r="C81" s="23"/>
      <x:c r="D81" s="23"/>
      <x:c r="E81" s="23"/>
      <x:c r="F81" s="27"/>
      <x:c r="G81" s="27"/>
      <x:c r="H81" s="49"/>
      <x:c r="I81" s="23"/>
      <x:c r="J81" s="23"/>
      <x:c r="K81" s="23"/>
      <x:c r="L81" s="27"/>
    </x:row>
    <x:row r="82">
      <x:c r="A82"/>
      <x:c r="B82" s="23"/>
      <x:c r="C82" s="23"/>
      <x:c r="D82" s="23"/>
      <x:c r="E82" s="23"/>
      <x:c r="F82" s="27"/>
      <x:c r="G82" s="27"/>
      <x:c r="H82" s="49"/>
      <x:c r="I82" s="23"/>
      <x:c r="J82" s="23"/>
      <x:c r="K82" s="23"/>
      <x:c r="L82" s="27"/>
    </x:row>
    <x:row r="83">
      <x:c r="A83"/>
      <x:c r="B83" s="23"/>
      <x:c r="C83" s="23"/>
      <x:c r="D83" s="23"/>
      <x:c r="E83" s="23"/>
      <x:c r="F83" s="27"/>
      <x:c r="G83" s="27"/>
      <x:c r="H83" s="49"/>
      <x:c r="I83" s="23"/>
      <x:c r="J83" s="23"/>
      <x:c r="K83" s="23"/>
      <x:c r="L83" s="27"/>
    </x:row>
    <x:row r="84">
      <x:c r="A84"/>
      <x:c r="B84" s="23"/>
      <x:c r="C84" s="23"/>
      <x:c r="D84" s="23"/>
      <x:c r="E84" s="23"/>
      <x:c r="F84" s="27"/>
      <x:c r="G84" s="27"/>
      <x:c r="H84" s="49"/>
      <x:c r="I84" s="23"/>
      <x:c r="J84" s="23"/>
      <x:c r="K84" s="23"/>
      <x:c r="L84" s="27"/>
    </x:row>
    <x:row r="85">
      <x:c r="A85"/>
      <x:c r="B85" s="23"/>
      <x:c r="C85" s="23"/>
      <x:c r="D85" s="23"/>
      <x:c r="E85" s="23"/>
      <x:c r="F85" s="27"/>
      <x:c r="G85" s="27"/>
      <x:c r="H85" s="49"/>
      <x:c r="I85" s="23"/>
      <x:c r="J85" s="23"/>
      <x:c r="K85" s="23"/>
      <x:c r="L85" s="27"/>
    </x:row>
  </x:sheetData>
  <x:mergeCells>
    <x:mergeCell ref="A1:H1"/>
    <x:mergeCell ref="A1:N1"/>
    <x:mergeCell ref="A2:N2"/>
  </x:mergeCells>
  <x:dataValidations count="1">
    <x:dataValidation type="list" sqref="B5">
      <x:formula1>'Model Config'!$A$2:$A$4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.630000114440918" hidden="0" customWidth="1"/>
    <x:col min="3" max="3" width="5.380000114440918" hidden="0" customWidth="1"/>
    <x:col min="4" max="4" width="10.380000114440918" hidden="0" customWidth="1"/>
    <x:col min="5" max="5" width="12.130000114440918" hidden="0" customWidth="1"/>
    <x:col min="6" max="6" width="11.380000114440918" hidden="0" customWidth="1"/>
    <x:col min="7" max="7" width="8.880000114440918" hidden="0" customWidth="1"/>
    <x:col min="8" max="8" width="7.75" hidden="0" customWidth="1"/>
    <x:col min="9" max="9" width="8" hidden="0" customWidth="1"/>
    <x:col min="10" max="10" width="13" hidden="0" customWidth="1"/>
    <x:col min="11" max="11" width="11.880000114440918" hidden="0" customWidth="1"/>
    <x:col min="12" max="12" width="11.380000114440918" hidden="0" customWidth="1"/>
    <x:col min="13" max="13" width="10.25" hidden="0" customWidth="1"/>
    <x:col min="14" max="14" width="7.5" hidden="0" customWidth="1"/>
    <x:col min="15" max="15" width="15.130000114440918" hidden="0" customWidth="1"/>
    <x:col min="16" max="16" width="10.130000114440918" hidden="0" customWidth="1"/>
    <x:col min="17" max="17" width="10.25" hidden="0" customWidth="1"/>
    <x:col min="18" max="18" width="10.630000114440918" hidden="0" customWidth="1"/>
    <x:col min="19" max="19" width="28" hidden="0" customWidth="1"/>
  </x:cols>
  <x:sheetData>
    <x:row r="1">
      <x:c r="A1" s="77" t="str">
        <x:v>Model</x:v>
      </x:c>
      <x:c r="B1" s="77" t="str">
        <x:v>Hidden H</x:v>
      </x:c>
      <x:c r="C1" s="77" t="str">
        <x:v>Layers</x:v>
      </x:c>
      <x:c r="D1" s="77" t="str">
        <x:v>Linear Layers</x:v>
      </x:c>
      <x:c r="E1" s="77" t="str">
        <x:v>Full Attn Layers</x:v>
      </x:c>
      <x:c r="F1" s="77" t="str">
        <x:v>Intermediate I</x:v>
      </x:c>
      <x:c r="G1" s="77" t="str">
        <x:v>Attn Heads</x:v>
      </x:c>
      <x:c r="H1" s="77" t="str">
        <x:v>KV Heads</x:v>
      </x:c>
      <x:c r="I1" s="77" t="str">
        <x:v>Head Dim</x:v>
      </x:c>
      <x:c r="J1" s="77" t="str">
        <x:v>Linear QK Heads</x:v>
      </x:c>
      <x:c r="K1" s="77" t="str">
        <x:v>Linear V Heads</x:v>
      </x:c>
      <x:c r="L1" s="77" t="str">
        <x:v>Linear QK Dim</x:v>
      </x:c>
      <x:c r="M1" s="77" t="str">
        <x:v>Linear V Dim</x:v>
      </x:c>
      <x:c r="N1" s="77" t="str">
        <x:v>FFN Type</x:v>
      </x:c>
      <x:c r="O1" s="77" t="str">
        <x:v>MoE Active Routed</x:v>
      </x:c>
      <x:c r="P1" s="77" t="str">
        <x:v>MoE Experts</x:v>
      </x:c>
      <x:c r="Q1" s="77" t="str">
        <x:v>MoE Expert I</x:v>
      </x:c>
      <x:c r="R1" s="77" t="str">
        <x:v>MoE Shared I</x:v>
      </x:c>
      <x:c r="S1" s="77" t="str">
        <x:v>Source URL</x:v>
      </x:c>
    </x:row>
    <x:row r="2">
      <x:c r="A2" s="80" t="str">
        <x:v>Qwen3.6-27B</x:v>
      </x:c>
      <x:c r="B2" s="79" t="n">
        <x:v>5120</x:v>
      </x:c>
      <x:c r="C2" s="79" t="n">
        <x:v>64</x:v>
      </x:c>
      <x:c r="D2" s="79" t="n">
        <x:v>48</x:v>
      </x:c>
      <x:c r="E2" s="79" t="n">
        <x:v>16</x:v>
      </x:c>
      <x:c r="F2" s="79" t="n">
        <x:v>17408</x:v>
      </x:c>
      <x:c r="G2" s="79" t="n">
        <x:v>24</x:v>
      </x:c>
      <x:c r="H2" s="79" t="n">
        <x:v>4</x:v>
      </x:c>
      <x:c r="I2" s="79" t="n">
        <x:v>256</x:v>
      </x:c>
      <x:c r="J2" s="79" t="n">
        <x:v>16</x:v>
      </x:c>
      <x:c r="K2" s="79" t="n">
        <x:v>48</x:v>
      </x:c>
      <x:c r="L2" s="79" t="n">
        <x:v>128</x:v>
      </x:c>
      <x:c r="M2" s="79" t="n">
        <x:v>128</x:v>
      </x:c>
      <x:c r="N2" s="79" t="str">
        <x:v>Dense</x:v>
      </x:c>
      <x:c r="O2" s="79" t="n">
        <x:v>0</x:v>
      </x:c>
      <x:c r="P2" s="79" t="n">
        <x:v>0</x:v>
      </x:c>
      <x:c r="Q2" s="79" t="n">
        <x:v>0</x:v>
      </x:c>
      <x:c r="R2" s="79" t="n">
        <x:v>0</x:v>
      </x:c>
      <x:c r="S2" s="81" t="str">
        <x:v>https://huggingface.co/Qwen/Qwen3.6-27B/blob/main/config.json</x:v>
      </x:c>
    </x:row>
    <x:row r="3">
      <x:c r="A3" s="80" t="str">
        <x:v>Qwen3.5-27B</x:v>
      </x:c>
      <x:c r="B3" s="79" t="n">
        <x:v>5120</x:v>
      </x:c>
      <x:c r="C3" s="79" t="n">
        <x:v>64</x:v>
      </x:c>
      <x:c r="D3" s="79" t="n">
        <x:v>48</x:v>
      </x:c>
      <x:c r="E3" s="79" t="n">
        <x:v>16</x:v>
      </x:c>
      <x:c r="F3" s="79" t="n">
        <x:v>17408</x:v>
      </x:c>
      <x:c r="G3" s="79" t="n">
        <x:v>24</x:v>
      </x:c>
      <x:c r="H3" s="79" t="n">
        <x:v>4</x:v>
      </x:c>
      <x:c r="I3" s="79" t="n">
        <x:v>256</x:v>
      </x:c>
      <x:c r="J3" s="79" t="n">
        <x:v>16</x:v>
      </x:c>
      <x:c r="K3" s="79" t="n">
        <x:v>48</x:v>
      </x:c>
      <x:c r="L3" s="79" t="n">
        <x:v>128</x:v>
      </x:c>
      <x:c r="M3" s="79" t="n">
        <x:v>128</x:v>
      </x:c>
      <x:c r="N3" s="79" t="str">
        <x:v>Dense</x:v>
      </x:c>
      <x:c r="O3" s="79" t="n">
        <x:v>0</x:v>
      </x:c>
      <x:c r="P3" s="79" t="n">
        <x:v>0</x:v>
      </x:c>
      <x:c r="Q3" s="79" t="n">
        <x:v>0</x:v>
      </x:c>
      <x:c r="R3" s="79" t="n">
        <x:v>0</x:v>
      </x:c>
      <x:c r="S3" s="81" t="str">
        <x:v>https://huggingface.co/Qwen/Qwen3.5-27B/blob/main/config.json</x:v>
      </x:c>
    </x:row>
    <x:row r="4">
      <x:c r="A4" s="80" t="str">
        <x:v>Qwen3.5-35B-A3B</x:v>
      </x:c>
      <x:c r="B4" s="79" t="n">
        <x:v>2048</x:v>
      </x:c>
      <x:c r="C4" s="79" t="n">
        <x:v>40</x:v>
      </x:c>
      <x:c r="D4" s="79" t="n">
        <x:v>30</x:v>
      </x:c>
      <x:c r="E4" s="79" t="n">
        <x:v>10</x:v>
      </x:c>
      <x:c r="F4" s="79" t="n">
        <x:v>512</x:v>
      </x:c>
      <x:c r="G4" s="79" t="n">
        <x:v>16</x:v>
      </x:c>
      <x:c r="H4" s="79" t="n">
        <x:v>2</x:v>
      </x:c>
      <x:c r="I4" s="79" t="n">
        <x:v>256</x:v>
      </x:c>
      <x:c r="J4" s="79" t="n">
        <x:v>16</x:v>
      </x:c>
      <x:c r="K4" s="79" t="n">
        <x:v>32</x:v>
      </x:c>
      <x:c r="L4" s="79" t="n">
        <x:v>128</x:v>
      </x:c>
      <x:c r="M4" s="79" t="n">
        <x:v>128</x:v>
      </x:c>
      <x:c r="N4" s="79" t="str">
        <x:v>MoE</x:v>
      </x:c>
      <x:c r="O4" s="79" t="n">
        <x:v>8</x:v>
      </x:c>
      <x:c r="P4" s="79" t="n">
        <x:v>256</x:v>
      </x:c>
      <x:c r="Q4" s="79" t="n">
        <x:v>512</x:v>
      </x:c>
      <x:c r="R4" s="79" t="n">
        <x:v>512</x:v>
      </x:c>
      <x:c r="S4" s="81" t="str">
        <x:v>https://huggingface.co/Qwen/Qwen3.5-35B-A3B/blob/main/config.json</x:v>
      </x:c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4" hidden="0" customWidth="1"/>
    <x:col min="4" max="4" width="46" hidden="0" customWidth="1"/>
    <x:col min="5" max="5" width="30" hidden="0" customWidth="1"/>
    <x:col min="6" max="6" width="20" hidden="0" customWidth="1"/>
  </x:cols>
  <x:sheetData>
    <x:row r="1">
      <x:c r="A1" s="184" t="str">
        <x:v>Formula Guide — how the TTFT estimate is built</x:v>
      </x:c>
    </x:row>
    <x:row r="3">
      <x:c r="A3" s="101" t="str">
        <x:v>Component</x:v>
      </x:c>
      <x:c r="B3" s="101" t="str">
        <x:v>Mathematical formula</x:v>
      </x:c>
      <x:c r="C3" s="101" t="str">
        <x:v>Excel logic</x:v>
      </x:c>
      <x:c r="D3" s="101" t="str">
        <x:v>Why it matters</x:v>
      </x:c>
      <x:c r="E3" s="101" t="str">
        <x:v>Depends on</x:v>
      </x:c>
      <x:c r="F3" s="101" t="str">
        <x:v>Units</x:v>
      </x:c>
    </x:row>
    <x:row r="4">
      <x:c r="A4" s="189" t="str">
        <x:v>Dense FFN</x:v>
      </x:c>
      <x:c r="B4" s="188" t="str">
        <x:v>6HI</x:v>
      </x:c>
      <x:c r="C4" s="188" t="str">
        <x:v>6*H*I</x:v>
      </x:c>
      <x:c r="D4" s="188" t="str">
        <x:v>SwiGLU has 3 H×I projections; each MAC counts as 2 FLOPs.</x:v>
      </x:c>
      <x:c r="E4" s="188" t="str">
        <x:v>H, I</x:v>
      </x:c>
      <x:c r="F4" s="188" t="str">
        <x:v>FLOPs/token/layer</x:v>
      </x:c>
    </x:row>
    <x:row r="5">
      <x:c r="A5" s="189" t="str">
        <x:v>MoE FFN</x:v>
      </x:c>
      <x:c r="B5" s="188" t="str">
        <x:v>6H(A·I_e+I_s)</x:v>
      </x:c>
      <x:c r="C5" s="188" t="str">
        <x:v>6*H*(A*I_e+I_s)</x:v>
      </x:c>
      <x:c r="D5" s="188" t="str">
        <x:v>Counts only routed active experts plus shared expert for Qwen3.5-35B-A3B.</x:v>
      </x:c>
      <x:c r="E5" s="188" t="str">
        <x:v>H, active experts, expert/shared I</x:v>
      </x:c>
      <x:c r="F5" s="188" t="str">
        <x:v>FLOPs/token/layer</x:v>
      </x:c>
    </x:row>
    <x:row r="6">
      <x:c r="A6" s="189" t="str">
        <x:v>Linear-attention projections</x:v>
      </x:c>
      <x:c r="B6" s="188" t="str">
        <x:v>2H(2N_kD_k+3N_vD_v+2N_v)</x:v>
      </x:c>
      <x:c r="C6" s="188" t="str">
        <x:v>2*H*(2*Nk*Dk+3*Nv*Dv+2*Nv)</x:v>
      </x:c>
      <x:c r="D6" s="188" t="str">
        <x:v>Q/K/V + z + a + b + output projections.</x:v>
      </x:c>
      <x:c r="E6" s="188" t="str">
        <x:v>Linear head counts/dims</x:v>
      </x:c>
      <x:c r="F6" s="188" t="str">
        <x:v>FLOPs/token/layer</x:v>
      </x:c>
    </x:row>
    <x:row r="7">
      <x:c r="A7" s="189" t="str">
        <x:v>Full-attention projections</x:v>
      </x:c>
      <x:c r="B7" s="188" t="str">
        <x:v>2H(3N_hd+2N_kvd)</x:v>
      </x:c>
      <x:c r="C7" s="188" t="str">
        <x:v>2*H*(3*Nh*d+2*Nkv*d)</x:v>
      </x:c>
      <x:c r="D7" s="188" t="str">
        <x:v>Q uses gated 2× head output; K/V are GQA; O returns to H.</x:v>
      </x:c>
      <x:c r="E7" s="188" t="str">
        <x:v>Attention heads/KV heads/head dim</x:v>
      </x:c>
      <x:c r="F7" s="188" t="str">
        <x:v>FLOPs/token/layer</x:v>
      </x:c>
    </x:row>
    <x:row r="8">
      <x:c r="A8" s="189" t="str">
        <x:v>Full-attention quadratic</x:v>
      </x:c>
      <x:c r="B8" s="188" t="str">
        <x:v>4N_hd·S²</x:v>
      </x:c>
      <x:c r="C8" s="188" t="str">
        <x:v>4*Nh*d*S^2</x:v>
      </x:c>
      <x:c r="D8" s="188" t="str">
        <x:v>QKᵀ and AV; only full-attention layers incur this term.</x:v>
      </x:c>
      <x:c r="E8" s="188" t="str">
        <x:v>Full attention heads, head dim, S</x:v>
      </x:c>
      <x:c r="F8" s="188" t="str">
        <x:v>FLOPs/layer</x:v>
      </x:c>
    </x:row>
    <x:row r="9">
      <x:c r="A9" s="189" t="str">
        <x:v>Total linear arithmetic</x:v>
      </x:c>
      <x:c r="B9" s="188" t="str">
        <x:v>L_lin(F_lin+F_ffn)+L_full(F_full+F_ffn)</x:v>
      </x:c>
      <x:c r="C9" s="188" t="str">
        <x:v>LinearLayers*(LinearProj+FFN)+FullLayers*(FullProj+FFN)</x:v>
      </x:c>
      <x:c r="D9" s="188" t="str">
        <x:v>All projection/FFN work scales linearly with tokens.</x:v>
      </x:c>
      <x:c r="E9" s="188" t="str">
        <x:v>Layer split</x:v>
      </x:c>
      <x:c r="F9" s="188" t="str">
        <x:v>FLOPs/token</x:v>
      </x:c>
    </x:row>
    <x:row r="10">
      <x:c r="A10" s="189" t="str">
        <x:v>TP ring volume</x:v>
      </x:c>
      <x:c r="B10" s="188" t="str">
        <x:v>2·(P−1)/P·M per all-reduce</x:v>
      </x:c>
      <x:c r="C10" s="188" t="str">
        <x:v>2*(P-1)/P * M per all-reduce; M=B*S*H*bytes</x:v>
      </x:c>
      <x:c r="D10" s="188" t="str">
        <x:v>Ring all-reduce sends 2(P−1)/P of the message per GPU.</x:v>
      </x:c>
      <x:c r="E10" s="188" t="str">
        <x:v>TP, H, BF16 bytes</x:v>
      </x:c>
      <x:c r="F10" s="188" t="str">
        <x:v>bytes/GPU</x:v>
      </x:c>
    </x:row>
    <x:row r="11">
      <x:c r="A11" s="189" t="str">
        <x:v>Two TP collectives/layer</x:v>
      </x:c>
      <x:c r="B11" s="188" t="str">
        <x:v>2 × ring volume</x:v>
      </x:c>
      <x:c r="C11" s="188" t="str">
        <x:v>2 * ring volume</x:v>
      </x:c>
      <x:c r="D11" s="188" t="str">
        <x:v>Models row-parallel output and MLP down-projection collectives.</x:v>
      </x:c>
      <x:c r="E11" s="188" t="str">
        <x:v>Implementation assumption</x:v>
      </x:c>
      <x:c r="F11" s="188" t="str">
        <x:v>bytes/layer</x:v>
      </x:c>
    </x:row>
    <x:row r="12">
      <x:c r="A12" s="189" t="str">
        <x:v>Delta padded tokens</x:v>
      </x:c>
      <x:c r="B12" s="188" t="str">
        <x:v>ceil(S/C)·C</x:v>
      </x:c>
      <x:c r="C12" s="188" t="str">
        <x:v>ROUNDUP(S/C,0)*C</x:v>
      </x:c>
      <x:c r="D12" s="188" t="str">
        <x:v>Chunked DeltaNet processes complete chunks.</x:v>
      </x:c>
      <x:c r="E12" s="188" t="str">
        <x:v>Prompt, chunk</x:v>
      </x:c>
      <x:c r="F12" s="188" t="str">
        <x:v>tokens</x:v>
      </x:c>
    </x:row>
    <x:row r="13">
      <x:c r="A13" s="189" t="str">
        <x:v>Delta arithmetic</x:v>
      </x:c>
      <x:c r="B13" s="188" t="str">
        <x:v>F_delta(C)·padded tokens·L_lin</x:v>
      </x:c>
      <x:c r="C13" s="188" t="str">
        <x:v>DeltaFLOPsPerTokenLayer * padded tokens * linear layers</x:v>
      </x:c>
      <x:c r="D13" s="188" t="str">
        <x:v>Approximates chunked intra-chunk/state work; C controls O(S·C) work.</x:v>
      </x:c>
      <x:c r="E13" s="188" t="str">
        <x:v>C, linear heads/dims</x:v>
      </x:c>
      <x:c r="F13" s="188" t="str">
        <x:v>FLOPs</x:v>
      </x:c>
    </x:row>
    <x:row r="14">
      <x:c r="A14" s="189" t="str">
        <x:v>Serialized TTFT</x:v>
      </x:c>
      <x:c r="B14" s="188" t="str">
        <x:v>T_compute+T_TP+T_delta+T_fixed</x:v>
      </x:c>
      <x:c r="C14" s="188" t="str">
        <x:v>Compute + TP + Delta arithmetic + Delta fixed</x:v>
      </x:c>
      <x:c r="D14" s="188" t="str">
        <x:v>Single-request dependency chain: next layer consumes the reduced result.</x:v>
      </x:c>
      <x:c r="E14" s="188" t="str">
        <x:v>All timing terms</x:v>
      </x:c>
      <x:c r="F14" s="188" t="str">
        <x:v>ms</x:v>
      </x:c>
    </x:row>
    <x:row r="15">
      <x:c r="A15" s="189" t="str">
        <x:v>Batch behavior</x:v>
      </x:c>
      <x:c r="B15" s="188" t="str">
        <x:v>B scales arithmetic/communication work</x:v>
      </x:c>
      <x:c r="C15" s="188" t="str">
        <x:v>batch scales arithmetic/communication work</x:v>
      </x:c>
      <x:c r="D15" s="188" t="str">
        <x:v>This is the batch critical-path time; it is not automatically per-request TTFT.</x:v>
      </x:c>
      <x:c r="E15" s="188" t="str">
        <x:v>Batch size</x:v>
      </x:c>
      <x:c r="F15" s="188" t="str">
        <x:v>ms</x:v>
      </x:c>
    </x:row>
    <x:row r="18">
      <x:c r="A18" s="191" t="str">
        <x:v>Key assumptions</x:v>
      </x:c>
      <x:c r="B18" t="str"/>
      <x:c r="C18" t="str"/>
      <x:c r="D18" t="str"/>
      <x:c r="E18" t="str"/>
      <x:c r="F18" t="str"/>
    </x:row>
    <x:row r="19">
      <x:c r="A19" s="187" t="str">
        <x:v>150 TFLOP/s/GPU</x:v>
      </x:c>
      <x:c r="B19" s="187" t="str">
        <x:v>Achieved BF16 GEMM throughput used for base arithmetic.</x:v>
      </x:c>
      <x:c r="C19" s="187" t="str"/>
      <x:c r="D19" s="187" t="str"/>
      <x:c r="E19" s="187" t="str"/>
      <x:c r="F19" s="187" t="str"/>
    </x:row>
    <x:row r="20">
      <x:c r="A20" s="187" t="str">
        <x:v>20 GB/s</x:v>
      </x:c>
      <x:c r="B20" s="187" t="str">
        <x:v>Effective achieved TP all-reduce bandwidth. 30 GB/s remains as the theoretical PCIe ceiling.</x:v>
      </x:c>
      <x:c r="C20" s="187" t="str"/>
      <x:c r="D20" s="187" t="str"/>
      <x:c r="E20" s="187" t="str"/>
      <x:c r="F20" s="187" t="str"/>
    </x:row>
    <x:row r="21">
      <x:c r="A21" s="187" t="str">
        <x:v>No whole-layer compute/communication overlap</x:v>
      </x:c>
      <x:c r="B21" s="187" t="str">
        <x:v>The model uses the serialized dependency path for a single request.</x:v>
      </x:c>
      <x:c r="C21" s="187" t="str"/>
      <x:c r="D21" s="187" t="str"/>
      <x:c r="E21" s="187" t="str"/>
      <x:c r="F21" s="187" t="str"/>
    </x:row>
  </x:sheetData>
  <x:mergeCells>
    <x:mergeCell ref="A1:F1"/>
    <x:mergeCell ref="A18:F18"/>
  </x:mergeCells>
  <x:pageMargins left="0.7" right="0.7" top="0.75" bottom="0.75" header="0.3" footer="0.3"/>
</x:worksheet>
</file>