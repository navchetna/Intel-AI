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<sst xmlns="http://schemas.openxmlformats.org/spreadsheetml/2006/main" count="534" uniqueCount="298">
  <si>
    <t xml:space="preserve">Supermicro × NVIDIA HGX B200 — System Reference</t>
  </si>
  <si>
    <t xml:space="preserve">OEM system options for the High-end (prior gen)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</si>
  <si>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</si>
  <si>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</si>
  <si>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</si>
  <si>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</si>
  <si>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</si>
  <si>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HGX B200</t>
  </si>
  <si>
    <t xml:space="preserve">[I]</t>
  </si>
  <si>
    <t xml:space="preserve">Tier</t>
  </si>
  <si>
    <t xml:space="preserve">High-end (prior gen)</t>
  </si>
  <si>
    <t xml:space="preserve">[D]</t>
  </si>
  <si>
    <t xml:space="preserve">System(s)</t>
  </si>
  <si>
    <t xml:space="preserve">SYS-822GS-NBRT</t>
  </si>
  <si>
    <t xml:space="preserve">Host socket / series</t>
  </si>
  <si>
    <t xml:space="preserve">SYS-822GS-NBRT: LGA-4710 (Socket E2) (Xeon 6700P / 6500P)</t>
  </si>
  <si>
    <t xml:space="preserve">GPU silicon reference</t>
  </si>
  <si>
    <t xml:space="preserve">NVIDIA_B200_Reference.xlsx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</si>
  <si>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</si>
  <si>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</si>
  <si>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</si>
  <si>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</si>
  <si>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</si>
  <si>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</si>
  <si>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Same 8U air-cooled chassis family with HGX B200: 1000 W GPUs, 8 low-profile PCIe slots for 400G E-W NICs, 3+3 × 6600 W.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</si>
  <si>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</si>
  <si>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</si>
  <si>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</si>
  <si>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</si>
  <si>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</si>
  <si>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8× B200 · 6× 6600 W (3+3)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</si>
  <si>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</si>
  <si>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</si>
  <si>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</si>
  <si>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</si>
  <si>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</si>
  <si>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</si>
  <si>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</si>
  <si>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</si>
  <si>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</si>
  <si>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</si>
  <si>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</si>
  <si>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</si>
  <si>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</si>
  <si>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</si>
  <si>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</si>
  <si>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</si>
  <si>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</si>
  <si>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</si>
  <si>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</si>
  <si>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</si>
  <si>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</si>
  <si>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</si>
  <si>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</si>
  <si>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SYS-822GS-NBRT  (Supermicro)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</si>
  <si>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</si>
  <si>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</si>
  <si>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</si>
  <si>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</si>
  <si>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</si>
  <si>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</si>
  <si>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Supermicro GPU SuperServer SYS-822GS-NBRT (X14)</t>
  </si>
  <si>
    <t xml:space="preserve">S2</t>
  </si>
  <si>
    <t xml:space="preserve">Form factor</t>
  </si>
  <si>
    <t xml:space="preserve">8U rackmount, air-cooled, front I/O</t>
  </si>
  <si>
    <t xml:space="preserve">Processor</t>
  </si>
  <si>
    <t xml:space="preserve">CPU</t>
  </si>
  <si>
    <t xml:space="preserve">Dual Intel Xeon 6700/6500 series P-cores, ≤350 W; up to 86C/172T, up to 336 MB cache; Socket E2 (LGA-4710)</t>
  </si>
  <si>
    <t xml:space="preserve">Memory</t>
  </si>
  <si>
    <t xml:space="preserve">Slots / max</t>
  </si>
  <si>
    <t xml:space="preserve">32 DIMM; up to 4 TB DDR5-6400 RDIMM (1 DPC) or 8 TB DDR5-5200 (2 DPC)</t>
  </si>
  <si>
    <t xml:space="preserve">Complex</t>
  </si>
  <si>
    <t xml:space="preserve">HGX B200 8-GPU SXM6 (180 GB), 1000 W per GPU, air-cooled, NVLink with NVSwitch; CPU-GPU PCIe 5.0 x16</t>
  </si>
  <si>
    <t xml:space="preserve">Expansion</t>
  </si>
  <si>
    <t xml:space="preserve">Slots</t>
  </si>
  <si>
    <t xml:space="preserve">Up to 8× PCIe 5.0 x16 LP + 2× PCIe 5.0 x16 FHHL</t>
  </si>
  <si>
    <t xml:space="preserve">Storage</t>
  </si>
  <si>
    <t xml:space="preserve">Bays</t>
  </si>
  <si>
    <t xml:space="preserve">8× hot-swap E1.S NVMe; 2× M.2 PCIe 5.0 x4 NVMe (RAID via S3808N)</t>
  </si>
  <si>
    <t xml:space="preserve">Network</t>
  </si>
  <si>
    <t xml:space="preserve">LAN</t>
  </si>
  <si>
    <t xml:space="preserve">2× 10G (X710), 1× IPMI GbE</t>
  </si>
  <si>
    <t xml:space="preserve">Power</t>
  </si>
  <si>
    <t xml:space="preserve">PSUs</t>
  </si>
  <si>
    <t xml:space="preserve">6× redundant (3+3) 6600 W Titanium</t>
  </si>
  <si>
    <t xml:space="preserve">Physical</t>
  </si>
  <si>
    <t xml:space="preserve">Enclosure</t>
  </si>
  <si>
    <t xml:space="preserve">449 × 356 × 950 mm</t>
  </si>
  <si>
    <t xml:space="preserve">Ports</t>
  </si>
  <si>
    <t xml:space="preserve">Front</t>
  </si>
  <si>
    <t xml:space="preserve">1× USB 3.0, 1× USB 2.0, 1× mini-DP</t>
  </si>
  <si>
    <t xml:space="preserve">This workbook</t>
  </si>
  <si>
    <t xml:space="preserve">GPU population</t>
  </si>
  <si>
    <t xml:space="preserve">NVIDIA HGX B200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</si>
  <si>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</si>
  <si>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</si>
  <si>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</si>
  <si>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</si>
  <si>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</si>
  <si>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</si>
  <si>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</si>
  <si>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</si>
  <si>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NVIDIA HGX B200 8-GPU (180 GB)</t>
  </si>
  <si>
    <t xml:space="preserve">onboard</t>
  </si>
  <si>
    <t xml:space="preserve">1000 W/GPU</t>
  </si>
  <si>
    <t xml:space="preserve">PCIe 5.0 x16 LP NIC slots (for 400G E-W)</t>
  </si>
  <si>
    <t xml:space="preserve">6600 W Titanium PSU</t>
  </si>
  <si>
    <t xml:space="preserve">3+3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</si>
  <si>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</si>
  <si>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</si>
  <si>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</si>
  <si>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SYS-822GS-NB3RT / -NBRT</t>
  </si>
  <si>
    <t xml:space="preserve">6× 6600 W Titanium, redundant 3+3</t>
  </si>
  <si>
    <t xml:space="preserve">S1, S2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</si>
  <si>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</si>
  <si>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</si>
  <si>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</si>
  <si>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</si>
  <si>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</si>
  <si>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</si>
  <si>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</si>
  <si>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</si>
  <si>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</si>
  <si>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</si>
  <si>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</si>
  <si>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</si>
  <si>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</si>
  <si>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</si>
  <si>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</si>
  <si>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</si>
  <si>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</si>
  <si>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</si>
  <si>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</si>
  <si>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</si>
  <si>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</si>
  <si>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</si>
  <si>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</si>
  <si>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</si>
  <si>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</si>
  <si>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</si>
  <si>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</si>
  <si>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</si>
  <si>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</si>
  <si>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</si>
  <si>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</si>
  <si>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</si>
  <si>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</si>
  <si>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</si>
  <si>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</si>
  <si>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</si>
  <si>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</si>
  <si>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</si>
  <si>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</si>
  <si>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</si>
  <si>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</si>
  <si>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</si>
  <si>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</si>
  <si>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</si>
  <si>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</si>
  <si>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</si>
  <si>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</si>
  <si>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</si>
  <si>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</si>
  <si>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</si>
  <si>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</si>
  <si>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</si>
  <si>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</si>
  <si>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</si>
  <si>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</si>
  <si>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</si>
  <si>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</si>
  <si>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</si>
  <si>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</si>
  <si>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</si>
  <si>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</si>
  <si>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</si>
  <si>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</si>
  <si>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</si>
  <si>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</si>
  <si>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</si>
  <si>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</si>
  <si>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</si>
  <si>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</si>
  <si>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</si>
  <si>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</si>
  <si>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</si>
  <si>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</si>
  <si>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</si>
  <si>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</si>
  <si>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</si>
  <si>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</si>
  <si>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</si>
  <si>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</si>
  <si>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</si>
  <si>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</si>
  <si>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</si>
  <si>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</si>
  <si>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</si>
  <si>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</si>
  <si>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</si>
  <si>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</si>
  <si>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</si>
  <si>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</si>
  <si>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</si>
  <si>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</si>
  <si>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</si>
  <si>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</si>
  <si>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</si>
  <si>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</si>
  <si>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</si>
  <si>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</si>
  <si>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</si>
  <si>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</si>
  <si>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</si>
  <si>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</si>
  <si>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</si>
  <si>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</si>
  <si>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</si>
  <si>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</si>
  <si>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</si>
  <si>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SYS-822GS-NBRT — socket LGA-4710 (Socket E2); series Xeon 6700P / 6500P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</si>
  <si>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</si>
  <si>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</si>
  <si>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</si>
  <si>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</si>
  <si>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</si>
  <si>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</si>
  <si>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</si>
  <si>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</si>
  <si>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</si>
  <si>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</si>
  <si>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</si>
  <si>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</si>
  <si>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</si>
  <si>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</si>
  <si>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</si>
  <si>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</si>
  <si>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</si>
  <si>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</si>
  <si>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</si>
  <si>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</si>
  <si>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</si>
  <si>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</si>
  <si>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</si>
  <si>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</si>
  <si>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</si>
  <si>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</si>
  <si>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</si>
  <si>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</si>
  <si>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</si>
  <si>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</si>
  <si>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</si>
  <si>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</si>
  <si>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</si>
  <si>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</si>
  <si>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</si>
  <si>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</si>
  <si>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</si>
  <si>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</si>
  <si>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</si>
  <si>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</si>
  <si>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</si>
  <si>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</si>
  <si>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</si>
  <si>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</si>
  <si>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</si>
  <si>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</si>
  <si>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</si>
  <si>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</si>
  <si>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</si>
  <si>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</si>
  <si>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S1</t>
  </si>
  <si>
    <t xml:space="preserve">Supermicro - SYS-822GS-NB3RT datasheet / eStore</t>
  </si>
  <si>
    <t xml:space="preserve">https://www.supermicro.com/en/products/system/datasheet/sys-822gs-nb3rt</t>
  </si>
  <si>
    <t xml:space="preserve">Supermicro - SYS-822GS-NBRT datasheet (HGX B200)</t>
  </si>
  <si>
    <t xml:space="preserve">https://www.supermicro.com/en/products/system/datasheet/sys-822gs-nbrt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</si>
  <si>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</si>
  <si>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</si>
  <si>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</si>
  <si>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</si>
  <si>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</si>
  <si>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Supermicro_B200.xlsx</t>
  </si>
  <si>
    <t xml:space="preserve">  oem: Supermicro</t>
  </si>
  <si>
    <t xml:space="preserve">  gpu: B200</t>
  </si>
  <si>
    <t xml:space="preserve">  tier: "High-end (prior gen)"</t>
  </si>
  <si>
    <t xml:space="preserve">  chassis:</t>
  </si>
  <si>
    <t xml:space="preserve">    - model: "SYS-822GS-NBRT"</t>
  </si>
  <si>
    <t xml:space="preserve">      rack_units: 8</t>
  </si>
  <si>
    <t xml:space="preserve">      cpu_socket: "LGA-4710 (Socket E2)"</t>
  </si>
  <si>
    <t xml:space="preserve">  power_scenarios:   # inputs only; outputs live in 4_Power_Budget</t>
  </si>
  <si>
    <t xml:space="preserve">    - name: "8× B200 · 6× 6600 W (3+3)"</t>
  </si>
  <si>
    <t xml:space="preserve">      system: "SYS-822GS-NBRT"</t>
  </si>
  <si>
    <t xml:space="preserve">      gpus: 8</t>
  </si>
  <si>
    <t xml:space="preserve">      gpu_w: 1000</t>
  </si>
  <si>
    <t xml:space="preserve">      cpu: {count: 2, tdp_w: 350}</t>
  </si>
  <si>
    <t xml:space="preserve">      psu: {rating_w: 6600, installed: 6, redundant: 3}</t>
  </si>
  <si>
    <t xml:space="preserve">      assumptions_u: {dimm_w: 10, drive_w: 20, nic_w: 25, baseboard_w: 600, fan_pct: 0.1,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</si>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</sst>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11023.1</v>
      </c>
      <c r="C18" s="11" t="n">
        <f aca="false">4_Power_Budget!C42</f>
        <v>19800</v>
      </c>
      <c r="D18" s="4" t="str">
        <f aca="false">4_Power_Budget!C45</f>
        <v>OK within redundant capacity</v>
      </c>
    </row>
    <row r="20" customFormat="false" ht="15" hidden="false" customHeight="false" outlineLevel="0" collapsed="false">
      <c r="A20" s="9" t="s">
        <v>31</v>
      </c>
      <c r="B20" s="10"/>
      <c r="C20" s="10"/>
      <c r="D20" s="10"/>
    </row>
    <row r="21" customFormat="false" ht="15" hidden="false" customHeight="false" outlineLevel="0" collapsed="false">
      <c r="A21" s="3" t="s">
        <v>4</v>
      </c>
      <c r="B21" s="3" t="s">
        <v>32</v>
      </c>
      <c r="C21" s="3" t="s">
        <v>33</v>
      </c>
      <c r="D21" s="3" t="s">
        <v>34</v>
      </c>
    </row>
    <row r="22" customFormat="false" ht="23.85" hidden="false" customHeight="false" outlineLevel="0" collapsed="false">
      <c r="A22" s="5" t="s">
        <v>8</v>
      </c>
      <c r="B22" s="4" t="s">
        <v>35</v>
      </c>
      <c r="C22" s="4" t="s">
        <v>36</v>
      </c>
      <c r="D22" s="4" t="s">
        <v>37</v>
      </c>
    </row>
    <row r="23" customFormat="false" ht="23.85" hidden="false" customHeight="false" outlineLevel="0" collapsed="false">
      <c r="A23" s="6" t="s">
        <v>11</v>
      </c>
      <c r="B23" s="4" t="s">
        <v>38</v>
      </c>
      <c r="C23" s="4" t="s">
        <v>39</v>
      </c>
      <c r="D23" s="4" t="s">
        <v>40</v>
      </c>
    </row>
    <row r="24" customFormat="false" ht="23.85" hidden="false" customHeight="false" outlineLevel="0" collapsed="false">
      <c r="A24" s="12" t="s">
        <v>41</v>
      </c>
      <c r="B24" s="4" t="s">
        <v>42</v>
      </c>
      <c r="C24" s="4" t="s">
        <v>43</v>
      </c>
      <c r="D24" s="4" t="s">
        <v>44</v>
      </c>
    </row>
    <row r="25" customFormat="false" ht="23.85" hidden="false" customHeight="false" outlineLevel="0" collapsed="false">
      <c r="A25" s="13" t="s">
        <v>45</v>
      </c>
      <c r="B25" s="4" t="s">
        <v>46</v>
      </c>
      <c r="C25" s="4" t="s">
        <v>47</v>
      </c>
      <c r="D25" s="4" t="s">
        <v>48</v>
      </c>
    </row>
    <row r="26" customFormat="false" ht="15" hidden="false" customHeight="false" outlineLevel="0" collapsed="false">
      <c r="A26" s="14" t="s">
        <v>49</v>
      </c>
      <c r="B26" s="4" t="s">
        <v>50</v>
      </c>
      <c r="C26" s="4" t="s">
        <v>51</v>
      </c>
      <c r="D26" s="4" t="s">
        <v>51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9" t="s">
        <v>54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55</v>
      </c>
      <c r="B5" s="3" t="s">
        <v>56</v>
      </c>
      <c r="C5" s="3" t="s">
        <v>57</v>
      </c>
      <c r="D5" s="3" t="s">
        <v>3</v>
      </c>
      <c r="E5" s="3" t="s">
        <v>4</v>
      </c>
      <c r="F5" s="3" t="s">
        <v>58</v>
      </c>
    </row>
    <row r="6" customFormat="false" ht="15" hidden="false" customHeight="false" outlineLevel="0" collapsed="false">
      <c r="A6" s="4" t="s">
        <v>13</v>
      </c>
      <c r="B6" s="4" t="s">
        <v>59</v>
      </c>
      <c r="C6" s="4" t="s">
        <v>60</v>
      </c>
      <c r="D6" s="4" t="s">
        <v>61</v>
      </c>
      <c r="E6" s="5" t="s">
        <v>8</v>
      </c>
      <c r="F6" s="4" t="s">
        <v>62</v>
      </c>
    </row>
    <row r="7" customFormat="false" ht="15" hidden="false" customHeight="false" outlineLevel="0" collapsed="false">
      <c r="A7" s="4" t="s">
        <v>13</v>
      </c>
      <c r="B7" s="4" t="s">
        <v>59</v>
      </c>
      <c r="C7" s="4" t="s">
        <v>63</v>
      </c>
      <c r="D7" s="4" t="s">
        <v>64</v>
      </c>
      <c r="E7" s="5" t="s">
        <v>8</v>
      </c>
      <c r="F7" s="4" t="s">
        <v>62</v>
      </c>
    </row>
    <row r="8" customFormat="false" ht="23.85" hidden="false" customHeight="false" outlineLevel="0" collapsed="false">
      <c r="A8" s="4" t="s">
        <v>13</v>
      </c>
      <c r="B8" s="4" t="s">
        <v>65</v>
      </c>
      <c r="C8" s="4" t="s">
        <v>66</v>
      </c>
      <c r="D8" s="4" t="s">
        <v>67</v>
      </c>
      <c r="E8" s="5" t="s">
        <v>8</v>
      </c>
      <c r="F8" s="4" t="s">
        <v>62</v>
      </c>
    </row>
    <row r="9" customFormat="false" ht="15" hidden="false" customHeight="false" outlineLevel="0" collapsed="false">
      <c r="A9" s="4" t="s">
        <v>13</v>
      </c>
      <c r="B9" s="4" t="s">
        <v>68</v>
      </c>
      <c r="C9" s="4" t="s">
        <v>69</v>
      </c>
      <c r="D9" s="4" t="s">
        <v>70</v>
      </c>
      <c r="E9" s="5" t="s">
        <v>8</v>
      </c>
      <c r="F9" s="4" t="s">
        <v>62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71</v>
      </c>
      <c r="D10" s="4" t="s">
        <v>72</v>
      </c>
      <c r="E10" s="5" t="s">
        <v>8</v>
      </c>
      <c r="F10" s="4" t="s">
        <v>62</v>
      </c>
    </row>
    <row r="11" customFormat="false" ht="15" hidden="false" customHeight="false" outlineLevel="0" collapsed="false">
      <c r="A11" s="4" t="s">
        <v>13</v>
      </c>
      <c r="B11" s="4" t="s">
        <v>73</v>
      </c>
      <c r="C11" s="4" t="s">
        <v>74</v>
      </c>
      <c r="D11" s="4" t="s">
        <v>75</v>
      </c>
      <c r="E11" s="5" t="s">
        <v>8</v>
      </c>
      <c r="F11" s="4" t="s">
        <v>62</v>
      </c>
    </row>
    <row r="12" customFormat="false" ht="15" hidden="false" customHeight="false" outlineLevel="0" collapsed="false">
      <c r="A12" s="4" t="s">
        <v>13</v>
      </c>
      <c r="B12" s="4" t="s">
        <v>76</v>
      </c>
      <c r="C12" s="4" t="s">
        <v>77</v>
      </c>
      <c r="D12" s="4" t="s">
        <v>78</v>
      </c>
      <c r="E12" s="5" t="s">
        <v>8</v>
      </c>
      <c r="F12" s="4" t="s">
        <v>62</v>
      </c>
    </row>
    <row r="13" customFormat="false" ht="15" hidden="false" customHeight="false" outlineLevel="0" collapsed="false">
      <c r="A13" s="4" t="s">
        <v>13</v>
      </c>
      <c r="B13" s="4" t="s">
        <v>79</v>
      </c>
      <c r="C13" s="4" t="s">
        <v>80</v>
      </c>
      <c r="D13" s="4" t="s">
        <v>81</v>
      </c>
      <c r="E13" s="5" t="s">
        <v>8</v>
      </c>
      <c r="F13" s="4" t="s">
        <v>62</v>
      </c>
    </row>
    <row r="14" customFormat="false" ht="15" hidden="false" customHeight="false" outlineLevel="0" collapsed="false">
      <c r="A14" s="4" t="s">
        <v>13</v>
      </c>
      <c r="B14" s="4" t="s">
        <v>82</v>
      </c>
      <c r="C14" s="4" t="s">
        <v>83</v>
      </c>
      <c r="D14" s="4" t="s">
        <v>84</v>
      </c>
      <c r="E14" s="5" t="s">
        <v>8</v>
      </c>
      <c r="F14" s="4" t="s">
        <v>62</v>
      </c>
    </row>
    <row r="15" customFormat="false" ht="15" hidden="false" customHeight="false" outlineLevel="0" collapsed="false">
      <c r="A15" s="4" t="s">
        <v>13</v>
      </c>
      <c r="B15" s="4" t="s">
        <v>85</v>
      </c>
      <c r="C15" s="4" t="s">
        <v>86</v>
      </c>
      <c r="D15" s="4" t="s">
        <v>87</v>
      </c>
      <c r="E15" s="5" t="s">
        <v>8</v>
      </c>
      <c r="F15" s="4" t="s">
        <v>62</v>
      </c>
    </row>
    <row r="16" customFormat="false" ht="15" hidden="false" customHeight="false" outlineLevel="0" collapsed="false">
      <c r="A16" s="4" t="s">
        <v>13</v>
      </c>
      <c r="B16" s="4" t="s">
        <v>88</v>
      </c>
      <c r="C16" s="4" t="s">
        <v>89</v>
      </c>
      <c r="D16" s="4" t="s">
        <v>90</v>
      </c>
      <c r="E16" s="5" t="s">
        <v>8</v>
      </c>
      <c r="F16" s="4" t="s">
        <v>62</v>
      </c>
    </row>
    <row r="17" customFormat="false" ht="15" hidden="false" customHeight="false" outlineLevel="0" collapsed="false">
      <c r="A17" s="4" t="s">
        <v>13</v>
      </c>
      <c r="B17" s="4" t="s">
        <v>91</v>
      </c>
      <c r="C17" s="4" t="s">
        <v>92</v>
      </c>
      <c r="D17" s="4" t="s">
        <v>93</v>
      </c>
      <c r="E17" s="6" t="s">
        <v>11</v>
      </c>
      <c r="F1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3" t="s">
        <v>55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4</v>
      </c>
      <c r="H4" s="3" t="s">
        <v>58</v>
      </c>
      <c r="I4" s="3" t="s">
        <v>101</v>
      </c>
    </row>
    <row r="5" customFormat="false" ht="15" hidden="false" customHeight="false" outlineLevel="0" collapsed="false">
      <c r="A5" s="4" t="s">
        <v>13</v>
      </c>
      <c r="B5" s="4" t="s">
        <v>6</v>
      </c>
      <c r="C5" s="4" t="s">
        <v>102</v>
      </c>
      <c r="D5" s="4" t="s">
        <v>103</v>
      </c>
      <c r="E5" s="4" t="n">
        <v>1</v>
      </c>
      <c r="F5" s="4" t="s">
        <v>104</v>
      </c>
      <c r="G5" s="5" t="s">
        <v>8</v>
      </c>
      <c r="H5" s="4" t="s">
        <v>62</v>
      </c>
      <c r="I5" s="4"/>
    </row>
    <row r="6" customFormat="false" ht="15" hidden="false" customHeight="false" outlineLevel="0" collapsed="false">
      <c r="A6" s="4" t="s">
        <v>13</v>
      </c>
      <c r="B6" s="4" t="s">
        <v>79</v>
      </c>
      <c r="C6" s="4" t="s">
        <v>105</v>
      </c>
      <c r="D6" s="4"/>
      <c r="E6" s="4" t="n">
        <v>8</v>
      </c>
      <c r="F6" s="4"/>
      <c r="G6" s="5" t="s">
        <v>8</v>
      </c>
      <c r="H6" s="4" t="s">
        <v>62</v>
      </c>
      <c r="I6" s="4"/>
    </row>
    <row r="7" customFormat="false" ht="15" hidden="false" customHeight="false" outlineLevel="0" collapsed="false">
      <c r="A7" s="4" t="s">
        <v>13</v>
      </c>
      <c r="B7" s="4" t="s">
        <v>82</v>
      </c>
      <c r="C7" s="4" t="s">
        <v>106</v>
      </c>
      <c r="D7" s="4"/>
      <c r="E7" s="4" t="n">
        <v>6</v>
      </c>
      <c r="F7" s="4" t="s">
        <v>107</v>
      </c>
      <c r="G7" s="5" t="s">
        <v>8</v>
      </c>
      <c r="H7" s="4" t="s">
        <v>62</v>
      </c>
      <c r="I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55</v>
      </c>
      <c r="B4" s="3" t="s">
        <v>110</v>
      </c>
      <c r="C4" s="3" t="s">
        <v>4</v>
      </c>
      <c r="D4" s="3" t="s">
        <v>58</v>
      </c>
    </row>
    <row r="5" customFormat="false" ht="15" hidden="false" customHeight="false" outlineLevel="0" collapsed="false">
      <c r="A5" s="4" t="s">
        <v>111</v>
      </c>
      <c r="B5" s="4" t="s">
        <v>112</v>
      </c>
      <c r="C5" s="5" t="s">
        <v>8</v>
      </c>
      <c r="D5" s="4" t="s">
        <v>113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3" t="s">
        <v>116</v>
      </c>
      <c r="B4" s="3" t="s">
        <v>117</v>
      </c>
      <c r="C4" s="3" t="s">
        <v>30</v>
      </c>
      <c r="D4" s="3" t="s">
        <v>4</v>
      </c>
      <c r="E4" s="3" t="s">
        <v>118</v>
      </c>
    </row>
    <row r="5" customFormat="false" ht="15" hidden="false" customHeight="false" outlineLevel="0" collapsed="false">
      <c r="A5" s="15" t="s">
        <v>55</v>
      </c>
      <c r="B5" s="15"/>
      <c r="C5" s="15" t="s">
        <v>13</v>
      </c>
      <c r="D5" s="15"/>
      <c r="E5" s="15"/>
    </row>
    <row r="6" customFormat="false" ht="15" hidden="false" customHeight="false" outlineLevel="0" collapsed="false">
      <c r="A6" s="4" t="s">
        <v>119</v>
      </c>
      <c r="B6" s="4" t="s">
        <v>120</v>
      </c>
      <c r="C6" s="16" t="n">
        <v>8</v>
      </c>
      <c r="D6" s="5" t="s">
        <v>8</v>
      </c>
      <c r="E6" s="4" t="s">
        <v>121</v>
      </c>
    </row>
    <row r="7" customFormat="false" ht="15" hidden="false" customHeight="false" outlineLevel="0" collapsed="false">
      <c r="A7" s="4" t="s">
        <v>122</v>
      </c>
      <c r="B7" s="4" t="s">
        <v>123</v>
      </c>
      <c r="C7" s="16" t="n">
        <v>1000</v>
      </c>
      <c r="D7" s="5" t="s">
        <v>8</v>
      </c>
      <c r="E7" s="4" t="s">
        <v>124</v>
      </c>
    </row>
    <row r="8" customFormat="false" ht="15" hidden="false" customHeight="false" outlineLevel="0" collapsed="false">
      <c r="A8" s="4" t="s">
        <v>125</v>
      </c>
      <c r="B8" s="4" t="s">
        <v>120</v>
      </c>
      <c r="C8" s="16" t="n">
        <v>2</v>
      </c>
      <c r="D8" s="5" t="s">
        <v>8</v>
      </c>
      <c r="E8" s="4" t="s">
        <v>126</v>
      </c>
    </row>
    <row r="9" customFormat="false" ht="15" hidden="false" customHeight="false" outlineLevel="0" collapsed="false">
      <c r="A9" s="4" t="s">
        <v>127</v>
      </c>
      <c r="B9" s="4" t="s">
        <v>123</v>
      </c>
      <c r="C9" s="16" t="n">
        <v>350</v>
      </c>
      <c r="D9" s="13" t="s">
        <v>45</v>
      </c>
      <c r="E9" s="4" t="s">
        <v>128</v>
      </c>
    </row>
    <row r="10" customFormat="false" ht="15" hidden="false" customHeight="false" outlineLevel="0" collapsed="false">
      <c r="A10" s="4" t="s">
        <v>129</v>
      </c>
      <c r="B10" s="4" t="s">
        <v>120</v>
      </c>
      <c r="C10" s="16" t="n">
        <v>32</v>
      </c>
      <c r="D10" s="13" t="s">
        <v>45</v>
      </c>
      <c r="E10" s="4" t="s">
        <v>130</v>
      </c>
    </row>
    <row r="11" customFormat="false" ht="15" hidden="false" customHeight="false" outlineLevel="0" collapsed="false">
      <c r="A11" s="4" t="s">
        <v>131</v>
      </c>
      <c r="B11" s="4" t="s">
        <v>123</v>
      </c>
      <c r="C11" s="16" t="n">
        <v>10</v>
      </c>
      <c r="D11" s="13" t="s">
        <v>45</v>
      </c>
      <c r="E11" s="4" t="s">
        <v>132</v>
      </c>
    </row>
    <row r="12" customFormat="false" ht="15" hidden="false" customHeight="false" outlineLevel="0" collapsed="false">
      <c r="A12" s="4" t="s">
        <v>133</v>
      </c>
      <c r="B12" s="4" t="s">
        <v>120</v>
      </c>
      <c r="C12" s="16" t="n">
        <v>8</v>
      </c>
      <c r="D12" s="13" t="s">
        <v>45</v>
      </c>
      <c r="E12" s="4" t="s">
        <v>134</v>
      </c>
    </row>
    <row r="13" customFormat="false" ht="15" hidden="false" customHeight="false" outlineLevel="0" collapsed="false">
      <c r="A13" s="4" t="s">
        <v>135</v>
      </c>
      <c r="B13" s="4" t="s">
        <v>123</v>
      </c>
      <c r="C13" s="16" t="n">
        <v>20</v>
      </c>
      <c r="D13" s="13" t="s">
        <v>45</v>
      </c>
      <c r="E13" s="4" t="s">
        <v>136</v>
      </c>
    </row>
    <row r="14" customFormat="false" ht="15" hidden="false" customHeight="false" outlineLevel="0" collapsed="false">
      <c r="A14" s="4" t="s">
        <v>137</v>
      </c>
      <c r="B14" s="4" t="s">
        <v>120</v>
      </c>
      <c r="C14" s="16" t="n">
        <v>2</v>
      </c>
      <c r="D14" s="5" t="s">
        <v>8</v>
      </c>
      <c r="E14" s="4" t="s">
        <v>126</v>
      </c>
    </row>
    <row r="15" customFormat="false" ht="15" hidden="false" customHeight="false" outlineLevel="0" collapsed="false">
      <c r="A15" s="4" t="s">
        <v>138</v>
      </c>
      <c r="B15" s="4" t="s">
        <v>123</v>
      </c>
      <c r="C15" s="16" t="n">
        <v>8</v>
      </c>
      <c r="D15" s="13" t="s">
        <v>45</v>
      </c>
      <c r="E15" s="4" t="s">
        <v>139</v>
      </c>
    </row>
    <row r="16" customFormat="false" ht="15" hidden="false" customHeight="false" outlineLevel="0" collapsed="false">
      <c r="A16" s="4" t="s">
        <v>140</v>
      </c>
      <c r="B16" s="4" t="s">
        <v>120</v>
      </c>
      <c r="C16" s="16" t="n">
        <v>9</v>
      </c>
      <c r="D16" s="13" t="s">
        <v>45</v>
      </c>
      <c r="E16" s="4" t="s">
        <v>141</v>
      </c>
    </row>
    <row r="17" customFormat="false" ht="15" hidden="false" customHeight="false" outlineLevel="0" collapsed="false">
      <c r="A17" s="4" t="s">
        <v>142</v>
      </c>
      <c r="B17" s="4" t="s">
        <v>123</v>
      </c>
      <c r="C17" s="16" t="n">
        <v>25</v>
      </c>
      <c r="D17" s="13" t="s">
        <v>45</v>
      </c>
      <c r="E17" s="4" t="s">
        <v>143</v>
      </c>
    </row>
    <row r="18" customFormat="false" ht="15" hidden="false" customHeight="false" outlineLevel="0" collapsed="false">
      <c r="A18" s="4" t="s">
        <v>144</v>
      </c>
      <c r="B18" s="4" t="s">
        <v>123</v>
      </c>
      <c r="C18" s="16" t="n">
        <v>600</v>
      </c>
      <c r="D18" s="13" t="s">
        <v>45</v>
      </c>
      <c r="E18" s="4" t="s">
        <v>145</v>
      </c>
    </row>
    <row r="19" customFormat="false" ht="23.85" hidden="false" customHeight="false" outlineLevel="0" collapsed="false">
      <c r="A19" s="4" t="s">
        <v>146</v>
      </c>
      <c r="B19" s="4" t="s">
        <v>147</v>
      </c>
      <c r="C19" s="17" t="n">
        <v>0.1</v>
      </c>
      <c r="D19" s="13" t="s">
        <v>45</v>
      </c>
      <c r="E19" s="4" t="s">
        <v>139</v>
      </c>
    </row>
    <row r="20" customFormat="false" ht="15" hidden="false" customHeight="false" outlineLevel="0" collapsed="false">
      <c r="A20" s="4" t="s">
        <v>148</v>
      </c>
      <c r="B20" s="4" t="s">
        <v>149</v>
      </c>
      <c r="C20" s="18" t="n">
        <v>0.95</v>
      </c>
      <c r="D20" s="13" t="s">
        <v>45</v>
      </c>
      <c r="E20" s="4" t="s">
        <v>150</v>
      </c>
    </row>
    <row r="21" customFormat="false" ht="15" hidden="false" customHeight="false" outlineLevel="0" collapsed="false">
      <c r="A21" s="4" t="s">
        <v>151</v>
      </c>
      <c r="B21" s="4" t="s">
        <v>123</v>
      </c>
      <c r="C21" s="16" t="n">
        <v>6600</v>
      </c>
      <c r="D21" s="5" t="s">
        <v>8</v>
      </c>
      <c r="E21" s="4" t="s">
        <v>126</v>
      </c>
    </row>
    <row r="22" customFormat="false" ht="15" hidden="false" customHeight="false" outlineLevel="0" collapsed="false">
      <c r="A22" s="4" t="s">
        <v>152</v>
      </c>
      <c r="B22" s="4" t="s">
        <v>120</v>
      </c>
      <c r="C22" s="16" t="n">
        <v>6</v>
      </c>
      <c r="D22" s="5" t="s">
        <v>8</v>
      </c>
      <c r="E22" s="4" t="s">
        <v>153</v>
      </c>
    </row>
    <row r="23" customFormat="false" ht="15" hidden="false" customHeight="false" outlineLevel="0" collapsed="false">
      <c r="A23" s="4" t="s">
        <v>154</v>
      </c>
      <c r="B23" s="4" t="s">
        <v>120</v>
      </c>
      <c r="C23" s="16" t="n">
        <v>3</v>
      </c>
      <c r="D23" s="5" t="s">
        <v>8</v>
      </c>
      <c r="E23" s="4" t="s">
        <v>155</v>
      </c>
    </row>
    <row r="24" customFormat="false" ht="15" hidden="false" customHeight="false" outlineLevel="0" collapsed="false">
      <c r="A24" s="4" t="s">
        <v>156</v>
      </c>
      <c r="B24" s="4" t="s">
        <v>120</v>
      </c>
      <c r="C24" s="16" t="n">
        <v>0</v>
      </c>
      <c r="D24" s="5" t="s">
        <v>8</v>
      </c>
      <c r="E24" s="4" t="s">
        <v>157</v>
      </c>
    </row>
    <row r="25" customFormat="false" ht="15" hidden="false" customHeight="false" outlineLevel="0" collapsed="false">
      <c r="A25" s="4" t="s">
        <v>158</v>
      </c>
      <c r="B25" s="4" t="s">
        <v>159</v>
      </c>
      <c r="C25" s="16" t="n">
        <v>30</v>
      </c>
      <c r="D25" s="13" t="s">
        <v>45</v>
      </c>
      <c r="E25" s="4" t="s">
        <v>160</v>
      </c>
    </row>
    <row r="26" customFormat="false" ht="15" hidden="false" customHeight="false" outlineLevel="0" collapsed="false">
      <c r="A26" s="4" t="s">
        <v>161</v>
      </c>
      <c r="B26" s="4" t="s">
        <v>162</v>
      </c>
      <c r="C26" s="16" t="n">
        <v>8</v>
      </c>
      <c r="D26" s="5" t="s">
        <v>8</v>
      </c>
      <c r="E26" s="4" t="s">
        <v>126</v>
      </c>
    </row>
    <row r="27" customFormat="false" ht="15" hidden="false" customHeight="false" outlineLevel="0" collapsed="false">
      <c r="A27" s="4" t="s">
        <v>163</v>
      </c>
      <c r="B27" s="4" t="s">
        <v>162</v>
      </c>
      <c r="C27" s="16" t="n">
        <v>38</v>
      </c>
      <c r="D27" s="13" t="s">
        <v>45</v>
      </c>
      <c r="E27" s="4" t="s">
        <v>164</v>
      </c>
    </row>
    <row r="29" customFormat="false" ht="15" hidden="false" customHeight="false" outlineLevel="0" collapsed="false">
      <c r="A29" s="9" t="s">
        <v>165</v>
      </c>
      <c r="B29" s="10"/>
      <c r="C29" s="10"/>
      <c r="D29" s="10"/>
      <c r="E29" s="10"/>
    </row>
    <row r="30" customFormat="false" ht="15" hidden="false" customHeight="false" outlineLevel="0" collapsed="false">
      <c r="A30" s="3" t="s">
        <v>166</v>
      </c>
      <c r="B30" s="3" t="s">
        <v>117</v>
      </c>
      <c r="C30" s="3" t="s">
        <v>30</v>
      </c>
      <c r="D30" s="3" t="s">
        <v>4</v>
      </c>
      <c r="E30" s="3" t="s">
        <v>167</v>
      </c>
    </row>
    <row r="31" customFormat="false" ht="15" hidden="false" customHeight="false" outlineLevel="0" collapsed="false">
      <c r="A31" s="4" t="s">
        <v>168</v>
      </c>
      <c r="B31" s="4" t="s">
        <v>123</v>
      </c>
      <c r="C31" s="11" t="n">
        <f aca="false">C6*C7</f>
        <v>8000</v>
      </c>
      <c r="D31" s="6" t="s">
        <v>11</v>
      </c>
      <c r="E31" s="4" t="s">
        <v>169</v>
      </c>
    </row>
    <row r="32" customFormat="false" ht="15" hidden="false" customHeight="false" outlineLevel="0" collapsed="false">
      <c r="A32" s="4" t="s">
        <v>170</v>
      </c>
      <c r="B32" s="4" t="s">
        <v>123</v>
      </c>
      <c r="C32" s="11" t="n">
        <f aca="false">C8*C9</f>
        <v>700</v>
      </c>
      <c r="D32" s="6" t="s">
        <v>11</v>
      </c>
      <c r="E32" s="4" t="s">
        <v>171</v>
      </c>
    </row>
    <row r="33" customFormat="false" ht="15" hidden="false" customHeight="false" outlineLevel="0" collapsed="false">
      <c r="A33" s="4" t="s">
        <v>172</v>
      </c>
      <c r="B33" s="4" t="s">
        <v>123</v>
      </c>
      <c r="C33" s="11" t="n">
        <f aca="false">C10*C11</f>
        <v>320</v>
      </c>
      <c r="D33" s="6" t="s">
        <v>11</v>
      </c>
      <c r="E33" s="4" t="s">
        <v>173</v>
      </c>
    </row>
    <row r="34" customFormat="false" ht="15" hidden="false" customHeight="false" outlineLevel="0" collapsed="false">
      <c r="A34" s="4" t="s">
        <v>174</v>
      </c>
      <c r="B34" s="4" t="s">
        <v>123</v>
      </c>
      <c r="C34" s="11" t="n">
        <f aca="false">C12*C13+C14*C15</f>
        <v>176</v>
      </c>
      <c r="D34" s="6" t="s">
        <v>11</v>
      </c>
      <c r="E34" s="4" t="s">
        <v>175</v>
      </c>
    </row>
    <row r="35" customFormat="false" ht="15" hidden="false" customHeight="false" outlineLevel="0" collapsed="false">
      <c r="A35" s="4" t="s">
        <v>176</v>
      </c>
      <c r="B35" s="4" t="s">
        <v>123</v>
      </c>
      <c r="C35" s="11" t="n">
        <f aca="false">C16*C17</f>
        <v>225</v>
      </c>
      <c r="D35" s="6" t="s">
        <v>11</v>
      </c>
      <c r="E35" s="4" t="s">
        <v>177</v>
      </c>
    </row>
    <row r="36" customFormat="false" ht="15" hidden="false" customHeight="false" outlineLevel="0" collapsed="false">
      <c r="A36" s="4" t="s">
        <v>178</v>
      </c>
      <c r="B36" s="4" t="s">
        <v>123</v>
      </c>
      <c r="C36" s="11" t="n">
        <f aca="false">C18</f>
        <v>600</v>
      </c>
      <c r="D36" s="6" t="s">
        <v>11</v>
      </c>
      <c r="E36" s="4" t="s">
        <v>179</v>
      </c>
    </row>
    <row r="37" customFormat="false" ht="15" hidden="false" customHeight="false" outlineLevel="0" collapsed="false">
      <c r="A37" s="4" t="s">
        <v>180</v>
      </c>
      <c r="B37" s="4" t="s">
        <v>123</v>
      </c>
      <c r="C37" s="11" t="n">
        <f aca="false">SUM(C31:C36)</f>
        <v>10021</v>
      </c>
      <c r="D37" s="6" t="s">
        <v>11</v>
      </c>
      <c r="E37" s="4" t="s">
        <v>181</v>
      </c>
    </row>
    <row r="38" customFormat="false" ht="15" hidden="false" customHeight="false" outlineLevel="0" collapsed="false">
      <c r="A38" s="4" t="s">
        <v>182</v>
      </c>
      <c r="B38" s="4" t="s">
        <v>123</v>
      </c>
      <c r="C38" s="11" t="n">
        <f aca="false">C37*C19</f>
        <v>1002.1</v>
      </c>
      <c r="D38" s="6" t="s">
        <v>11</v>
      </c>
      <c r="E38" s="4" t="s">
        <v>183</v>
      </c>
    </row>
    <row r="39" customFormat="false" ht="15" hidden="false" customHeight="false" outlineLevel="0" collapsed="false">
      <c r="A39" s="4" t="s">
        <v>184</v>
      </c>
      <c r="B39" s="4" t="s">
        <v>123</v>
      </c>
      <c r="C39" s="11" t="n">
        <f aca="false">C37+C38</f>
        <v>11023.1</v>
      </c>
      <c r="D39" s="6" t="s">
        <v>11</v>
      </c>
      <c r="E39" s="4" t="s">
        <v>185</v>
      </c>
    </row>
    <row r="40" customFormat="false" ht="15" hidden="false" customHeight="false" outlineLevel="0" collapsed="false">
      <c r="A40" s="4" t="s">
        <v>186</v>
      </c>
      <c r="B40" s="4" t="s">
        <v>187</v>
      </c>
      <c r="C40" s="19" t="n">
        <f aca="false">C31/C39</f>
        <v>0.725748655097024</v>
      </c>
      <c r="D40" s="6" t="s">
        <v>11</v>
      </c>
      <c r="E40" s="4" t="s">
        <v>188</v>
      </c>
    </row>
    <row r="41" customFormat="false" ht="15" hidden="false" customHeight="false" outlineLevel="0" collapsed="false">
      <c r="A41" s="4" t="s">
        <v>189</v>
      </c>
      <c r="B41" s="4" t="s">
        <v>123</v>
      </c>
      <c r="C41" s="11" t="n">
        <f aca="false">C39/C20</f>
        <v>11603.2631578947</v>
      </c>
      <c r="D41" s="6" t="s">
        <v>11</v>
      </c>
      <c r="E41" s="4" t="s">
        <v>190</v>
      </c>
    </row>
    <row r="42" customFormat="false" ht="15" hidden="false" customHeight="false" outlineLevel="0" collapsed="false">
      <c r="A42" s="4" t="s">
        <v>191</v>
      </c>
      <c r="B42" s="4" t="s">
        <v>123</v>
      </c>
      <c r="C42" s="11" t="n">
        <f aca="false">IF(C21=0,"n/a",(C22-C23)*C21)</f>
        <v>19800</v>
      </c>
      <c r="D42" s="6" t="s">
        <v>11</v>
      </c>
      <c r="E42" s="4" t="s">
        <v>192</v>
      </c>
    </row>
    <row r="43" customFormat="false" ht="15" hidden="false" customHeight="false" outlineLevel="0" collapsed="false">
      <c r="A43" s="4" t="s">
        <v>193</v>
      </c>
      <c r="B43" s="4" t="s">
        <v>123</v>
      </c>
      <c r="C43" s="11" t="n">
        <f aca="false">IF(ISNUMBER(C42),C42-C39,"n/a")</f>
        <v>8776.9</v>
      </c>
      <c r="D43" s="6" t="s">
        <v>11</v>
      </c>
      <c r="E43" s="4" t="s">
        <v>194</v>
      </c>
    </row>
    <row r="44" customFormat="false" ht="15" hidden="false" customHeight="false" outlineLevel="0" collapsed="false">
      <c r="A44" s="4" t="s">
        <v>195</v>
      </c>
      <c r="B44" s="4" t="s">
        <v>187</v>
      </c>
      <c r="C44" s="19" t="n">
        <f aca="false">IF(ISNUMBER(C42),C39/C42,"n/a")</f>
        <v>0.556722222222222</v>
      </c>
      <c r="D44" s="6" t="s">
        <v>11</v>
      </c>
      <c r="E44" s="4" t="s">
        <v>196</v>
      </c>
    </row>
    <row r="45" customFormat="false" ht="15" hidden="false" customHeight="false" outlineLevel="0" collapsed="false">
      <c r="A45" s="4" t="s">
        <v>197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6" t="s">
        <v>11</v>
      </c>
      <c r="E45" s="4"/>
    </row>
    <row r="46" customFormat="false" ht="15" hidden="false" customHeight="false" outlineLevel="0" collapsed="false">
      <c r="A46" s="4" t="s">
        <v>198</v>
      </c>
      <c r="B46" s="4" t="s">
        <v>123</v>
      </c>
      <c r="C46" s="11" t="str">
        <f aca="false">IF(C24&gt;0,C24*C21,"n/a")</f>
        <v>n/a</v>
      </c>
      <c r="D46" s="6" t="s">
        <v>11</v>
      </c>
      <c r="E46" s="4" t="s">
        <v>199</v>
      </c>
    </row>
    <row r="47" customFormat="false" ht="15" hidden="false" customHeight="false" outlineLevel="0" collapsed="false">
      <c r="A47" s="4" t="s">
        <v>200</v>
      </c>
      <c r="B47" s="4"/>
      <c r="C47" s="20" t="str">
        <f aca="false">IF(C24&gt;0,IF(C31&lt;=C46,"OK","EXCEEDS"),"n/a")</f>
        <v>n/a</v>
      </c>
      <c r="D47" s="6" t="s">
        <v>11</v>
      </c>
      <c r="E47" s="4" t="s">
        <v>201</v>
      </c>
    </row>
    <row r="48" customFormat="false" ht="15" hidden="false" customHeight="false" outlineLevel="0" collapsed="false">
      <c r="A48" s="4" t="s">
        <v>202</v>
      </c>
      <c r="B48" s="4" t="s">
        <v>203</v>
      </c>
      <c r="C48" s="11" t="n">
        <f aca="false">C41*3.412</f>
        <v>39590.3338947369</v>
      </c>
      <c r="D48" s="6" t="s">
        <v>11</v>
      </c>
      <c r="E48" s="4" t="s">
        <v>204</v>
      </c>
    </row>
    <row r="49" customFormat="false" ht="15" hidden="false" customHeight="false" outlineLevel="0" collapsed="false">
      <c r="A49" s="4" t="s">
        <v>205</v>
      </c>
      <c r="B49" s="4" t="s">
        <v>159</v>
      </c>
      <c r="C49" s="21" t="n">
        <f aca="false">C41/C6/1000</f>
        <v>1.45040789473684</v>
      </c>
      <c r="D49" s="6" t="s">
        <v>11</v>
      </c>
      <c r="E49" s="4" t="s">
        <v>206</v>
      </c>
    </row>
    <row r="50" customFormat="false" ht="15" hidden="false" customHeight="false" outlineLevel="0" collapsed="false">
      <c r="A50" s="4" t="s">
        <v>207</v>
      </c>
      <c r="B50" s="4" t="s">
        <v>120</v>
      </c>
      <c r="C50" s="22" t="n">
        <f aca="false">INT(C25*1000/C41)</f>
        <v>2</v>
      </c>
      <c r="D50" s="6" t="s">
        <v>11</v>
      </c>
      <c r="E50" s="4" t="s">
        <v>208</v>
      </c>
    </row>
    <row r="51" customFormat="false" ht="15" hidden="false" customHeight="false" outlineLevel="0" collapsed="false">
      <c r="A51" s="4" t="s">
        <v>209</v>
      </c>
      <c r="B51" s="4" t="s">
        <v>120</v>
      </c>
      <c r="C51" s="22" t="n">
        <f aca="false">INT(C27/C26)</f>
        <v>4</v>
      </c>
      <c r="D51" s="6" t="s">
        <v>11</v>
      </c>
      <c r="E51" s="4" t="s">
        <v>210</v>
      </c>
    </row>
    <row r="52" customFormat="false" ht="15" hidden="false" customHeight="false" outlineLevel="0" collapsed="false">
      <c r="A52" s="4" t="s">
        <v>211</v>
      </c>
      <c r="B52" s="4" t="s">
        <v>120</v>
      </c>
      <c r="C52" s="22" t="n">
        <f aca="false">MIN(C50,C51)</f>
        <v>2</v>
      </c>
      <c r="D52" s="6" t="s">
        <v>11</v>
      </c>
      <c r="E52" s="4" t="s">
        <v>212</v>
      </c>
    </row>
    <row r="53" customFormat="false" ht="15" hidden="false" customHeight="false" outlineLevel="0" collapsed="false">
      <c r="A53" s="4" t="s">
        <v>213</v>
      </c>
      <c r="B53" s="4" t="s">
        <v>120</v>
      </c>
      <c r="C53" s="22" t="n">
        <f aca="false">C52*C6</f>
        <v>16</v>
      </c>
      <c r="D53" s="6" t="s">
        <v>11</v>
      </c>
      <c r="E53" s="4" t="s">
        <v>214</v>
      </c>
    </row>
    <row r="54" customFormat="false" ht="15" hidden="false" customHeight="false" outlineLevel="0" collapsed="false">
      <c r="A54" s="4" t="s">
        <v>215</v>
      </c>
      <c r="B54" s="4" t="s">
        <v>159</v>
      </c>
      <c r="C54" s="23" t="n">
        <f aca="false">C52*C41/1000</f>
        <v>23.2065263157895</v>
      </c>
      <c r="D54" s="6" t="s">
        <v>11</v>
      </c>
      <c r="E54" s="4" t="s">
        <v>216</v>
      </c>
    </row>
    <row r="56" customFormat="false" ht="39" hidden="false" customHeight="true" outlineLevel="0" collapsed="false">
      <c r="A56" s="24" t="s">
        <v>217</v>
      </c>
      <c r="B56" s="24"/>
      <c r="C56" s="24"/>
      <c r="D56" s="24"/>
      <c r="E56" s="24"/>
    </row>
  </sheetData>
  <mergeCells count="1">
    <mergeCell ref="A56:E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15" hidden="false" customHeight="false" outlineLevel="0" collapsed="false">
      <c r="A4" s="9" t="s">
        <v>220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55</v>
      </c>
      <c r="B5" s="3" t="s">
        <v>221</v>
      </c>
      <c r="C5" s="3" t="s">
        <v>222</v>
      </c>
      <c r="D5" s="3" t="s">
        <v>9</v>
      </c>
      <c r="E5" s="3" t="s">
        <v>223</v>
      </c>
      <c r="F5" s="3" t="s">
        <v>224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225</v>
      </c>
      <c r="C6" s="4" t="s">
        <v>226</v>
      </c>
      <c r="D6" s="4" t="s">
        <v>227</v>
      </c>
      <c r="E6" s="4" t="s">
        <v>228</v>
      </c>
      <c r="F6" s="4" t="s">
        <v>229</v>
      </c>
      <c r="G6" s="4" t="s">
        <v>230</v>
      </c>
      <c r="H6" s="13" t="s">
        <v>45</v>
      </c>
    </row>
    <row r="7" customFormat="false" ht="15" hidden="false" customHeight="false" outlineLevel="0" collapsed="false">
      <c r="A7" s="4" t="s">
        <v>13</v>
      </c>
      <c r="B7" s="4" t="s">
        <v>231</v>
      </c>
      <c r="C7" s="4" t="s">
        <v>226</v>
      </c>
      <c r="D7" s="4" t="s">
        <v>227</v>
      </c>
      <c r="E7" s="4" t="s">
        <v>232</v>
      </c>
      <c r="F7" s="4" t="s">
        <v>233</v>
      </c>
      <c r="G7" s="4" t="s">
        <v>230</v>
      </c>
      <c r="H7" s="13" t="s">
        <v>45</v>
      </c>
    </row>
    <row r="8" customFormat="false" ht="15" hidden="false" customHeight="false" outlineLevel="0" collapsed="false">
      <c r="A8" s="4" t="s">
        <v>13</v>
      </c>
      <c r="B8" s="4" t="s">
        <v>234</v>
      </c>
      <c r="C8" s="4" t="s">
        <v>226</v>
      </c>
      <c r="D8" s="4" t="s">
        <v>235</v>
      </c>
      <c r="E8" s="4" t="s">
        <v>236</v>
      </c>
      <c r="F8" s="4" t="s">
        <v>237</v>
      </c>
      <c r="G8" s="4" t="s">
        <v>238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239</v>
      </c>
      <c r="C9" s="4" t="s">
        <v>226</v>
      </c>
      <c r="D9" s="4" t="s">
        <v>235</v>
      </c>
      <c r="E9" s="4" t="s">
        <v>240</v>
      </c>
      <c r="F9" s="4" t="s">
        <v>241</v>
      </c>
      <c r="G9" s="4" t="s">
        <v>230</v>
      </c>
      <c r="H9" s="13" t="s">
        <v>45</v>
      </c>
    </row>
    <row r="10" customFormat="false" ht="15" hidden="false" customHeight="false" outlineLevel="0" collapsed="false">
      <c r="A10" s="4" t="s">
        <v>13</v>
      </c>
      <c r="B10" s="4" t="s">
        <v>242</v>
      </c>
      <c r="C10" s="4" t="s">
        <v>226</v>
      </c>
      <c r="D10" s="4" t="s">
        <v>243</v>
      </c>
      <c r="E10" s="4" t="s">
        <v>244</v>
      </c>
      <c r="F10" s="4" t="s">
        <v>237</v>
      </c>
      <c r="G10" s="4" t="s">
        <v>238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245</v>
      </c>
      <c r="C11" s="4" t="s">
        <v>226</v>
      </c>
      <c r="D11" s="4" t="s">
        <v>243</v>
      </c>
      <c r="E11" s="4" t="s">
        <v>246</v>
      </c>
      <c r="F11" s="4" t="s">
        <v>241</v>
      </c>
      <c r="G11" s="4" t="s">
        <v>230</v>
      </c>
      <c r="H11" s="13" t="s">
        <v>45</v>
      </c>
    </row>
    <row r="12" customFormat="false" ht="15" hidden="false" customHeight="false" outlineLevel="0" collapsed="false">
      <c r="A12" s="4" t="s">
        <v>13</v>
      </c>
      <c r="B12" s="4" t="s">
        <v>247</v>
      </c>
      <c r="C12" s="4" t="s">
        <v>248</v>
      </c>
      <c r="D12" s="4" t="s">
        <v>227</v>
      </c>
      <c r="E12" s="4" t="s">
        <v>228</v>
      </c>
      <c r="F12" s="4" t="s">
        <v>229</v>
      </c>
      <c r="G12" s="4" t="s">
        <v>230</v>
      </c>
      <c r="H12" s="13" t="s">
        <v>45</v>
      </c>
    </row>
    <row r="13" customFormat="false" ht="15" hidden="false" customHeight="false" outlineLevel="0" collapsed="false">
      <c r="A13" s="4" t="s">
        <v>13</v>
      </c>
      <c r="B13" s="4" t="s">
        <v>249</v>
      </c>
      <c r="C13" s="4" t="s">
        <v>248</v>
      </c>
      <c r="D13" s="4" t="s">
        <v>227</v>
      </c>
      <c r="E13" s="4" t="s">
        <v>232</v>
      </c>
      <c r="F13" s="4" t="s">
        <v>233</v>
      </c>
      <c r="G13" s="4" t="s">
        <v>230</v>
      </c>
      <c r="H13" s="13" t="s">
        <v>45</v>
      </c>
    </row>
    <row r="14" customFormat="false" ht="15" hidden="false" customHeight="false" outlineLevel="0" collapsed="false">
      <c r="A14" s="4" t="s">
        <v>13</v>
      </c>
      <c r="B14" s="4" t="s">
        <v>250</v>
      </c>
      <c r="C14" s="4" t="s">
        <v>248</v>
      </c>
      <c r="D14" s="4" t="s">
        <v>235</v>
      </c>
      <c r="E14" s="4" t="s">
        <v>236</v>
      </c>
      <c r="F14" s="4" t="s">
        <v>237</v>
      </c>
      <c r="G14" s="4" t="s">
        <v>238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251</v>
      </c>
      <c r="C15" s="4" t="s">
        <v>248</v>
      </c>
      <c r="D15" s="4" t="s">
        <v>235</v>
      </c>
      <c r="E15" s="4" t="s">
        <v>240</v>
      </c>
      <c r="F15" s="4" t="s">
        <v>241</v>
      </c>
      <c r="G15" s="4" t="s">
        <v>230</v>
      </c>
      <c r="H15" s="13" t="s">
        <v>45</v>
      </c>
    </row>
    <row r="16" customFormat="false" ht="15" hidden="false" customHeight="false" outlineLevel="0" collapsed="false">
      <c r="A16" s="4" t="s">
        <v>13</v>
      </c>
      <c r="B16" s="4" t="s">
        <v>252</v>
      </c>
      <c r="C16" s="4" t="s">
        <v>248</v>
      </c>
      <c r="D16" s="4" t="s">
        <v>243</v>
      </c>
      <c r="E16" s="4" t="s">
        <v>244</v>
      </c>
      <c r="F16" s="4" t="s">
        <v>237</v>
      </c>
      <c r="G16" s="4" t="s">
        <v>238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253</v>
      </c>
      <c r="C17" s="4" t="s">
        <v>248</v>
      </c>
      <c r="D17" s="4" t="s">
        <v>243</v>
      </c>
      <c r="E17" s="4" t="s">
        <v>246</v>
      </c>
      <c r="F17" s="4" t="s">
        <v>241</v>
      </c>
      <c r="G17" s="4" t="s">
        <v>230</v>
      </c>
      <c r="H17" s="13" t="s">
        <v>45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256</v>
      </c>
      <c r="B4" s="3" t="s">
        <v>257</v>
      </c>
      <c r="C4" s="3" t="s">
        <v>258</v>
      </c>
      <c r="D4" s="3" t="s">
        <v>259</v>
      </c>
    </row>
    <row r="5" customFormat="false" ht="35.05" hidden="false" customHeight="false" outlineLevel="0" collapsed="false">
      <c r="A5" s="4" t="n">
        <v>1</v>
      </c>
      <c r="B5" s="4" t="s">
        <v>260</v>
      </c>
      <c r="C5" s="4" t="s">
        <v>261</v>
      </c>
      <c r="D5" s="4" t="s">
        <v>262</v>
      </c>
    </row>
    <row r="6" customFormat="false" ht="23.85" hidden="false" customHeight="false" outlineLevel="0" collapsed="false">
      <c r="A6" s="4" t="n">
        <v>2</v>
      </c>
      <c r="B6" s="4" t="s">
        <v>263</v>
      </c>
      <c r="C6" s="4" t="s">
        <v>264</v>
      </c>
      <c r="D6" s="4" t="s">
        <v>265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267</v>
      </c>
    </row>
    <row r="4" customFormat="false" ht="15" hidden="false" customHeight="false" outlineLevel="0" collapsed="false">
      <c r="A4" s="3" t="s">
        <v>268</v>
      </c>
      <c r="B4" s="3" t="s">
        <v>5</v>
      </c>
      <c r="C4" s="3" t="s">
        <v>269</v>
      </c>
      <c r="D4" s="3" t="s">
        <v>270</v>
      </c>
    </row>
    <row r="5" customFormat="false" ht="15" hidden="false" customHeight="false" outlineLevel="0" collapsed="false">
      <c r="A5" s="4" t="s">
        <v>271</v>
      </c>
      <c r="B5" s="4" t="s">
        <v>272</v>
      </c>
      <c r="C5" s="4" t="s">
        <v>273</v>
      </c>
      <c r="D5" s="5" t="s">
        <v>8</v>
      </c>
    </row>
    <row r="6" customFormat="false" ht="15" hidden="false" customHeight="false" outlineLevel="0" collapsed="false">
      <c r="A6" s="4" t="s">
        <v>62</v>
      </c>
      <c r="B6" s="4" t="s">
        <v>274</v>
      </c>
      <c r="C6" s="4" t="s">
        <v>275</v>
      </c>
      <c r="D6" s="5" t="s">
        <v>8</v>
      </c>
    </row>
    <row r="7" customFormat="false" ht="23.85" hidden="false" customHeight="false" outlineLevel="0" collapsed="false">
      <c r="A7" s="4" t="s">
        <v>20</v>
      </c>
      <c r="B7" s="4" t="s">
        <v>276</v>
      </c>
      <c r="C7" s="4" t="s">
        <v>277</v>
      </c>
      <c r="D7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25" t="s">
        <v>280</v>
      </c>
    </row>
    <row r="5" customFormat="false" ht="15" hidden="false" customHeight="false" outlineLevel="0" collapsed="false">
      <c r="A5" s="25" t="s">
        <v>281</v>
      </c>
    </row>
    <row r="6" customFormat="false" ht="15" hidden="false" customHeight="false" outlineLevel="0" collapsed="false">
      <c r="A6" s="25" t="s">
        <v>282</v>
      </c>
    </row>
    <row r="7" customFormat="false" ht="15" hidden="false" customHeight="false" outlineLevel="0" collapsed="false">
      <c r="A7" s="25" t="s">
        <v>283</v>
      </c>
    </row>
    <row r="8" customFormat="false" ht="15" hidden="false" customHeight="false" outlineLevel="0" collapsed="false">
      <c r="A8" s="25" t="s">
        <v>284</v>
      </c>
    </row>
    <row r="9" customFormat="false" ht="15" hidden="false" customHeight="false" outlineLevel="0" collapsed="false">
      <c r="A9" s="25" t="s">
        <v>285</v>
      </c>
    </row>
    <row r="10" customFormat="false" ht="15" hidden="false" customHeight="false" outlineLevel="0" collapsed="false">
      <c r="A10" s="25" t="s">
        <v>286</v>
      </c>
    </row>
    <row r="11" customFormat="false" ht="15" hidden="false" customHeight="false" outlineLevel="0" collapsed="false">
      <c r="A11" s="25" t="s">
        <v>287</v>
      </c>
    </row>
    <row r="12" customFormat="false" ht="15" hidden="false" customHeight="false" outlineLevel="0" collapsed="false">
      <c r="A12" s="25" t="s">
        <v>288</v>
      </c>
    </row>
    <row r="13" customFormat="false" ht="15" hidden="false" customHeight="false" outlineLevel="0" collapsed="false">
      <c r="A13" s="25" t="s">
        <v>289</v>
      </c>
    </row>
    <row r="14" customFormat="false" ht="15" hidden="false" customHeight="false" outlineLevel="0" collapsed="false">
      <c r="A14" s="25" t="s">
        <v>290</v>
      </c>
    </row>
    <row r="15" customFormat="false" ht="15" hidden="false" customHeight="false" outlineLevel="0" collapsed="false">
      <c r="A15" s="25" t="s">
        <v>291</v>
      </c>
    </row>
    <row r="16" customFormat="false" ht="15" hidden="false" customHeight="false" outlineLevel="0" collapsed="false">
      <c r="A16" s="25" t="s">
        <v>292</v>
      </c>
    </row>
    <row r="17" customFormat="false" ht="15" hidden="false" customHeight="false" outlineLevel="0" collapsed="false">
      <c r="A17" s="25" t="s">
        <v>293</v>
      </c>
    </row>
    <row r="18" customFormat="false" ht="15" hidden="false" customHeight="false" outlineLevel="0" collapsed="false">
      <c r="A18" s="25" t="s">
        <v>294</v>
      </c>
    </row>
    <row r="19" customFormat="false" ht="15" hidden="false" customHeight="false" outlineLevel="0" collapsed="false">
      <c r="A19" s="25" t="s">
        <v>295</v>
      </c>
    </row>
    <row r="20" customFormat="false" ht="15" hidden="false" customHeight="false" outlineLevel="0" collapsed="false">
      <c r="A20" s="25" t="s">
        <v>296</v>
      </c>
    </row>
    <row r="21" customFormat="false" ht="15" hidden="false" customHeight="false" outlineLevel="0" collapsed="false">
      <c r="A21" s="25" t="s">
        <v>297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