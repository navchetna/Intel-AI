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1" documentId="11_4E752278F93E060A84910370A47C0E079E1BEE3F" xr6:coauthVersionLast="47" xr6:coauthVersionMax="47" xr10:uidLastSave="{71E57117-EBCE-4EB2-96E9-182D7854E8CA}"/>
  <bookViews>
    <workbookView xWindow="0" yWindow="0" windowWidth="16384" windowHeight="8192" tabRatio="500" xr2:uid="{00000000-000D-0000-FFFF-FFFF00000000}"/>
  </bookViews>
  <sheets>
    <sheet name="Inputs" sheetId="1" r:id="rId1"/>
    <sheet name="Decode" sheetId="2" r:id="rId2"/>
    <sheet name="Prefill" sheetId="3" r:id="rId3"/>
    <sheet name="README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3" l="1"/>
  <c r="B6" i="3"/>
  <c r="B7" i="3" s="1"/>
  <c r="B5" i="3"/>
  <c r="B8" i="3" s="1"/>
  <c r="B30" i="2"/>
  <c r="B29" i="2"/>
  <c r="B17" i="2"/>
  <c r="B11" i="2"/>
  <c r="B12" i="2" s="1"/>
  <c r="B13" i="2" s="1"/>
  <c r="B25" i="1"/>
  <c r="B19" i="1"/>
  <c r="B19" i="2" s="1"/>
  <c r="B16" i="2" l="1"/>
  <c r="B5" i="2"/>
  <c r="B6" i="2" s="1"/>
  <c r="B18" i="2"/>
  <c r="B20" i="2" s="1"/>
  <c r="B13" i="3"/>
  <c r="B14" i="3" s="1"/>
  <c r="B9" i="3"/>
  <c r="B8" i="2" l="1"/>
  <c r="B7" i="2"/>
  <c r="B24" i="2" l="1"/>
  <c r="B25" i="2" s="1"/>
  <c r="B26" i="2" s="1"/>
  <c r="B23" i="2"/>
</calcChain>
</file>

<file path=xl/sharedStrings.xml><?xml version="1.0" encoding="utf-8"?>
<sst xmlns="http://schemas.openxmlformats.org/spreadsheetml/2006/main" count="122" uniqueCount="120">
  <si>
    <t>Qwen3.6-27B — Decode &amp; Prefill Calculator</t>
  </si>
  <si>
    <t>Edit only the yellow cells. Everything downstream (Decode / Prefill sheets) recalculates automatically.</t>
  </si>
  <si>
    <t>MODEL ARCHITECTURE  (fixed — from Qwen3.6-27B config)</t>
  </si>
  <si>
    <t>Total Parameters (N)</t>
  </si>
  <si>
    <t>Source: Qwen3.6-27B model card / HF config.json</t>
  </si>
  <si>
    <t>Hidden Dimension (d_model)</t>
  </si>
  <si>
    <t>Total Layers</t>
  </si>
  <si>
    <t>Full-Attention Layers</t>
  </si>
  <si>
    <t>Full-Attention Q Heads</t>
  </si>
  <si>
    <t>Full-Attention KV Heads (GQA)</t>
  </si>
  <si>
    <t>Full-Attention Head Dim</t>
  </si>
  <si>
    <t>DeltaNet (Linear-Attn) Layers</t>
  </si>
  <si>
    <t>Hybrid layout: 16 x (3x DeltaNet-FFN -&gt; 1x Gated Attention-FFN)</t>
  </si>
  <si>
    <t>DeltaNet QK Heads</t>
  </si>
  <si>
    <t>DeltaNet V Heads</t>
  </si>
  <si>
    <t>DeltaNet Head Dim</t>
  </si>
  <si>
    <t>FFN Intermediate Size</t>
  </si>
  <si>
    <t>Vocab Size (padded)</t>
  </si>
  <si>
    <t>Sync Points per Layer (TP all-reduce: post-mixer + post-FFN)</t>
  </si>
  <si>
    <t>Total Sync Points / Token</t>
  </si>
  <si>
    <t>DEPLOYMENT CONFIGURATION  (edit these)</t>
  </si>
  <si>
    <t>PRECISION TABLE</t>
  </si>
  <si>
    <t>Number of Devices — Tensor-Parallel degree (X)</t>
  </si>
  <si>
    <t>FP32</t>
  </si>
  <si>
    <t>Batch Size (B)</t>
  </si>
  <si>
    <t>BF16</t>
  </si>
  <si>
    <t>Precision Format</t>
  </si>
  <si>
    <t>FP16</t>
  </si>
  <si>
    <t>Bytes per Parameter (auto from Precision)</t>
  </si>
  <si>
    <t>FP8</t>
  </si>
  <si>
    <t>Memory Bandwidth per Device (GB/s)</t>
  </si>
  <si>
    <t>e.g. LPDDR package bandwidth per card</t>
  </si>
  <si>
    <t>INT8</t>
  </si>
  <si>
    <t>Interconnect Bandwidth per Link (GB/s)</t>
  </si>
  <si>
    <t>PCIe Gen5 x16 ≈ 63-64 GB/s per direction</t>
  </si>
  <si>
    <t>FP4</t>
  </si>
  <si>
    <t>Device Peak Compute (TFLOPS @ this precision)</t>
  </si>
  <si>
    <t>PLACEHOLDER — replace with your device's real spec</t>
  </si>
  <si>
    <t>INT4</t>
  </si>
  <si>
    <t>Context / Sequence Length T (tokens)</t>
  </si>
  <si>
    <t>Used by the Prefill sheet</t>
  </si>
  <si>
    <t>Decode — Tensor-Parallel, Memory-Bandwidth Model</t>
  </si>
  <si>
    <t>Model: t_token = MAX(t_mem, t_compute) + t_comm.  KV-cache traffic excluded (negligible at BS=1 with only 16 full-attention layers, 4 KV heads).</t>
  </si>
  <si>
    <t>WEIGHT / MEMORY</t>
  </si>
  <si>
    <t>Total Weight Bytes</t>
  </si>
  <si>
    <t>Weight Bytes per Device (÷ X)</t>
  </si>
  <si>
    <t>Weight GB per Device</t>
  </si>
  <si>
    <t>t_mem — weight read time (ms)</t>
  </si>
  <si>
    <t>COMPUTE (matmul)</t>
  </si>
  <si>
    <t>Total Decode FLOPs (2 x N x B)</t>
  </si>
  <si>
    <t>FLOPs per Device (÷ X)</t>
  </si>
  <si>
    <t>t_compute — matmul time (ms)</t>
  </si>
  <si>
    <t>COMMUNICATION (TP ring all-reduce)</t>
  </si>
  <si>
    <t>Data per All-Reduce (bytes) = B x hidden x bytes/param</t>
  </si>
  <si>
    <t>Ring Factor = 2(X-1)/X</t>
  </si>
  <si>
    <t>Time per All-Reduce (ms)</t>
  </si>
  <si>
    <t>t_comm — total communication time (ms)</t>
  </si>
  <si>
    <t>RESULT</t>
  </si>
  <si>
    <t>Bound Regime (matmul path)</t>
  </si>
  <si>
    <t>Total Time per Token (ms)</t>
  </si>
  <si>
    <t>Tokens/sec — per stream</t>
  </si>
  <si>
    <t>Tokens/sec — aggregate (x Batch)</t>
  </si>
  <si>
    <t>TP SHARDING WARNINGS (not otherwise modeled in FLOPs/bytes above)</t>
  </si>
  <si>
    <t>KV-head sharding check (full-attn layers, 4 KV heads)</t>
  </si>
  <si>
    <t>QK-head sharding check (DeltaNet layers, 16 QK heads)</t>
  </si>
  <si>
    <t>Prefill — Forward Pass FLOPs (BS=1)</t>
  </si>
  <si>
    <t>Linear term covers all matmuls (projections + FFN, all 64 layers). Quadratic attention term applies only to the 16 full-attention layers; DeltaNet layers are O(T), already inside the linear term.</t>
  </si>
  <si>
    <t>COMPUTE</t>
  </si>
  <si>
    <t>Linear-layer FLOPs (2 x N x T)</t>
  </si>
  <si>
    <t>Full-Attention dim per layer (Q heads x head dim)</t>
  </si>
  <si>
    <t>Attention FLOPs (4 x layers x T^2 x dim)</t>
  </si>
  <si>
    <t>Total Prefill FLOPs</t>
  </si>
  <si>
    <t>Total Prefill TFLOPs</t>
  </si>
  <si>
    <t>ESTIMATED WALL-CLOCK (compute-bound, X devices)</t>
  </si>
  <si>
    <t>Aggregate Peak Compute (X devices x TFLOPS)</t>
  </si>
  <si>
    <t>Prefill Time (s)</t>
  </si>
  <si>
    <t>Prefill is compute-heavy (large T), unlike decode — this treats it as compute-bound. Communication/memory overhead for prefill isn't modeled here.</t>
  </si>
  <si>
    <t>Prefill Time (ms)</t>
  </si>
  <si>
    <t>README — Assumptions &amp; Legend</t>
  </si>
  <si>
    <t>COLOR LEGEND</t>
  </si>
  <si>
    <t xml:space="preserve">  Yellow fill + blue text  = hardcoded input, edit freely</t>
  </si>
  <si>
    <t xml:space="preserve">  Black text               = formula, do not hardcode</t>
  </si>
  <si>
    <t xml:space="preserve">  Green text                = link to another sheet</t>
  </si>
  <si>
    <t>SCOPE</t>
  </si>
  <si>
    <t xml:space="preserve">  Decode sheet: per-token decode latency/throughput under tensor parallelism (TP), assuming</t>
  </si>
  <si>
    <t xml:space="preserve">  weight-read bandwidth is the primary bottleneck at low batch size. KV-cache read traffic is</t>
  </si>
  <si>
    <t xml:space="preserve">  intentionally excluded — at BS=1 with 8k context, KV bytes (~1% of weight bytes for this hybrid</t>
  </si>
  <si>
    <t xml:space="preserve">  architecture with only 16 full-attention layers and 4 KV heads) are negligible. This becomes a</t>
  </si>
  <si>
    <t xml:space="preserve">  worse approximation at large batch size x long context, where KV bytes scale with B x T.</t>
  </si>
  <si>
    <t xml:space="preserve">  Prefill sheet: one-shot forward-pass FLOPs for a T-token prompt, treated as compute-bound</t>
  </si>
  <si>
    <t xml:space="preserve">  (ignores memory/comm overhead, valid when T is large enough that compute dominates).</t>
  </si>
  <si>
    <t>KEY FORMULAS</t>
  </si>
  <si>
    <t xml:space="preserve">  t_mem (decode)     = (N x bytes/param / X) / mem_bandwidth_per_device</t>
  </si>
  <si>
    <t xml:space="preserve">  t_compute (decode) = (2 x N x B / X) / device_peak_flops</t>
  </si>
  <si>
    <t xml:space="preserve">  t_comm (decode)    = sync_points_per_token x ring_allreduce_time</t>
  </si>
  <si>
    <t xml:space="preserve">                       ring_allreduce_time = 2(X-1)/X x (B x hidden x bytes/param) / link_bandwidth</t>
  </si>
  <si>
    <t xml:space="preserve">  t_token            = MAX(t_mem, t_compute) + t_comm</t>
  </si>
  <si>
    <t xml:space="preserve">  Prefill linear term    = 2 x N x T   (covers all projections + FFN, all 64 layers)</t>
  </si>
  <si>
    <t xml:space="preserve">  Prefill attention term = 4 x full_attn_layers x T^2 x (Q_heads x head_dim)</t>
  </si>
  <si>
    <t xml:space="preserve">                           (only the 16 full-attention layers; DeltaNet layers are O(T), already</t>
  </si>
  <si>
    <t xml:space="preserve">                           inside the linear term)</t>
  </si>
  <si>
    <t>WHY TP ALL-REDUCE USES hidden_dim, NOT HEAD WIDTH OR FFN WIDTH</t>
  </si>
  <si>
    <t xml:space="preserve">  Attention head width (Q_heads x head_dim = 6144) and FFN intermediate width (17408) both differ</t>
  </si>
  <si>
    <t xml:space="preserve">  from hidden_dim (5120). Under standard Megatron-style TP (column-parallel then row-parallel),</t>
  </si>
  <si>
    <t xml:space="preserve">  both the attention output projection and the FFN down-projection collapse their output back to</t>
  </si>
  <si>
    <t xml:space="preserve">  hidden_dim BEFORE the all-reduce happens. So the communicated payload is always hidden_dim-wide,</t>
  </si>
  <si>
    <t xml:space="preserve">  regardless of the wider internal head/FFN dimensions.</t>
  </si>
  <si>
    <t>SHARDING CAVEATS (flagged on the Decode sheet, not built into the FLOPs/bytes math)</t>
  </si>
  <si>
    <t xml:space="preserve">  - Full-attention layers have only 4 KV heads (GQA) -&gt; TP degree X &gt; 4 forces KV-head replication.</t>
  </si>
  <si>
    <t xml:space="preserve">  - DeltaNet layers have 16 QK heads -&gt; TP degree X &gt; 16 forces head replication.</t>
  </si>
  <si>
    <t xml:space="preserve">  Both add real memory/compute overhead beyond what this sheet's core formulas capture.</t>
  </si>
  <si>
    <t>OTHER CAVEATS</t>
  </si>
  <si>
    <t xml:space="preserve">  - 'Weights per device' is the theoretical floor (N x bytes/param / X). Real deployments often run</t>
  </si>
  <si>
    <t xml:space="preserve">    higher due to padding, unsharded/replicated components, and framework overhead.</t>
  </si>
  <si>
    <t xml:space="preserve">  - Device Peak Compute (Inputs!B28) is a placeholder (150 TFLOPS) — replace with your actual</t>
  </si>
  <si>
    <t xml:space="preserve">    hardware's peak FLOPS at the selected precision.</t>
  </si>
  <si>
    <t xml:space="preserve">  - Interconnect bandwidth defaults to ~64 GB/s, representing PCIe Gen5 x16 one direction. Swap in</t>
  </si>
  <si>
    <t xml:space="preserve">    NVLink/InfiniBand numbers if that's your actual topology.</t>
  </si>
  <si>
    <t xml:space="preserve">  - Model architecture constants (Inputs!B5:B17) are from the Qwen3.6-27B config; update them if a</t>
  </si>
  <si>
    <t xml:space="preserve">    different checkpoint or a config revision changes these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</si>
</sst>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"/>
    <numFmt numFmtId="166" formatCode="0.000"/>
  </numFmts>
  <fonts count="11">
    <font>
      <sz val="11"/>
      <color theme="1"/>
      <name val="Calibri"/>
      <family val="2"/>
      <charset val="1"/>
    </font>
    <font>
      <b/>
      <sz val="14"/>
      <color rgb="FF1F2A37"/>
      <name val="Arial"/>
      <charset val="1"/>
    </font>
    <font>
      <i/>
      <sz val="9"/>
      <color rgb="FF6B7280"/>
      <name val="Arial"/>
      <charset val="1"/>
    </font>
    <font>
      <b/>
      <sz val="11"/>
      <color rgb="FFFFFFFF"/>
      <name val="Arial"/>
      <charset val="1"/>
    </font>
    <font>
      <sz val="10"/>
      <color rgb="FF1F2A37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2"/>
      <color rgb="FFB45309"/>
      <name val="Arial"/>
      <charset val="1"/>
    </font>
    <font>
      <b/>
      <sz val="10"/>
      <name val="Arial"/>
      <charset val="1"/>
    </font>
    <font>
      <b/>
      <sz val="10"/>
      <color rgb="FF2C3B4B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C3B4B"/>
        <bgColor rgb="FF1F2A37"/>
      </patternFill>
    </fill>
    <fill>
      <patternFill patternType="solid">
        <fgColor rgb="FFFFFFCC"/>
        <bgColor rgb="FFFFFFFF"/>
      </patternFill>
    </fill>
    <fill>
      <patternFill patternType="solid">
        <fgColor rgb="FFE8F0FE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4" fillId="0" borderId="1" xfId="0" applyFont="1" applyBorder="1"/>
    <xf numFmtId="3" fontId="5" fillId="3" borderId="1" xfId="0" applyNumberFormat="1" applyFont="1" applyFill="1" applyBorder="1"/>
    <xf numFmtId="3" fontId="6" fillId="0" borderId="1" xfId="0" applyNumberFormat="1" applyFont="1" applyBorder="1"/>
    <xf numFmtId="2" fontId="6" fillId="0" borderId="1" xfId="0" applyNumberFormat="1" applyFont="1" applyBorder="1"/>
    <xf numFmtId="0" fontId="5" fillId="3" borderId="1" xfId="0" applyFont="1" applyFill="1" applyBorder="1"/>
    <xf numFmtId="3" fontId="7" fillId="0" borderId="1" xfId="0" applyNumberFormat="1" applyFont="1" applyBorder="1"/>
    <xf numFmtId="164" fontId="7" fillId="4" borderId="1" xfId="0" applyNumberFormat="1" applyFont="1" applyFill="1" applyBorder="1"/>
    <xf numFmtId="11" fontId="7" fillId="0" borderId="1" xfId="0" applyNumberFormat="1" applyFont="1" applyBorder="1"/>
    <xf numFmtId="164" fontId="7" fillId="0" borderId="1" xfId="0" applyNumberFormat="1" applyFont="1" applyBorder="1"/>
    <xf numFmtId="164" fontId="6" fillId="4" borderId="1" xfId="0" applyNumberFormat="1" applyFont="1" applyFill="1" applyBorder="1"/>
    <xf numFmtId="0" fontId="6" fillId="0" borderId="1" xfId="0" applyFont="1" applyBorder="1"/>
    <xf numFmtId="164" fontId="8" fillId="4" borderId="1" xfId="0" applyNumberFormat="1" applyFont="1" applyFill="1" applyBorder="1"/>
    <xf numFmtId="165" fontId="6" fillId="0" borderId="1" xfId="0" applyNumberFormat="1" applyFont="1" applyBorder="1"/>
    <xf numFmtId="165" fontId="8" fillId="4" borderId="1" xfId="0" applyNumberFormat="1" applyFont="1" applyFill="1" applyBorder="1"/>
    <xf numFmtId="0" fontId="9" fillId="0" borderId="1" xfId="0" applyFont="1" applyBorder="1"/>
    <xf numFmtId="11" fontId="6" fillId="0" borderId="1" xfId="0" applyNumberFormat="1" applyFont="1" applyBorder="1"/>
    <xf numFmtId="166" fontId="6" fillId="0" borderId="1" xfId="0" applyNumberFormat="1" applyFont="1" applyBorder="1"/>
    <xf numFmtId="3" fontId="8" fillId="4" borderId="1" xfId="0" applyNumberFormat="1" applyFont="1" applyFill="1" applyBorder="1"/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1F2A37"/>
      <rgbColor rgb="FFB45309"/>
      <rgbColor rgb="FF993366"/>
      <rgbColor rgb="FF333399"/>
      <rgbColor rgb="FF2C3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34" customWidth="1"/>
    <col min="2" max="2" width="16" customWidth="1"/>
    <col min="3" max="3" width="30" customWidth="1"/>
    <col min="4" max="4" width="4" customWidth="1"/>
    <col min="5" max="5" width="14" customWidth="1"/>
    <col min="6" max="6" width="12" customWidth="1"/>
    <col min="7" max="7" width="34" customWidth="1"/>
  </cols>
  <sheetData>
    <row r="1" spans="1:4" ht="17.45">
      <c r="A1" s="2" t="s">
        <v>0</v>
      </c>
    </row>
    <row r="2" spans="1:4" ht="32.85">
      <c r="A2" s="3" t="s">
        <v>1</v>
      </c>
    </row>
    <row r="4" spans="1:4">
      <c r="A4" s="24" t="s">
        <v>2</v>
      </c>
      <c r="B4" s="24"/>
      <c r="C4" s="24"/>
      <c r="D4" s="24"/>
    </row>
    <row r="5" spans="1:4" ht="15" customHeight="1">
      <c r="A5" s="4" t="s">
        <v>3</v>
      </c>
      <c r="B5" s="5">
        <v>27000000000</v>
      </c>
      <c r="C5" s="1" t="s">
        <v>4</v>
      </c>
    </row>
    <row r="6" spans="1:4">
      <c r="A6" s="4" t="s">
        <v>5</v>
      </c>
      <c r="B6" s="5">
        <v>5120</v>
      </c>
      <c r="C6" s="1"/>
    </row>
    <row r="7" spans="1:4">
      <c r="A7" s="4" t="s">
        <v>6</v>
      </c>
      <c r="B7" s="5">
        <v>64</v>
      </c>
      <c r="C7" s="1"/>
    </row>
    <row r="8" spans="1:4">
      <c r="A8" s="4" t="s">
        <v>7</v>
      </c>
      <c r="B8" s="5">
        <v>16</v>
      </c>
    </row>
    <row r="9" spans="1:4">
      <c r="A9" s="4" t="s">
        <v>8</v>
      </c>
      <c r="B9" s="5">
        <v>24</v>
      </c>
    </row>
    <row r="10" spans="1:4">
      <c r="A10" s="4" t="s">
        <v>9</v>
      </c>
      <c r="B10" s="5">
        <v>4</v>
      </c>
    </row>
    <row r="11" spans="1:4">
      <c r="A11" s="4" t="s">
        <v>10</v>
      </c>
      <c r="B11" s="5">
        <v>256</v>
      </c>
    </row>
    <row r="12" spans="1:4" ht="15" customHeight="1">
      <c r="A12" s="4" t="s">
        <v>11</v>
      </c>
      <c r="B12" s="5">
        <v>48</v>
      </c>
      <c r="C12" s="1" t="s">
        <v>12</v>
      </c>
    </row>
    <row r="13" spans="1:4">
      <c r="A13" s="4" t="s">
        <v>13</v>
      </c>
      <c r="B13" s="5">
        <v>16</v>
      </c>
      <c r="C13" s="1"/>
    </row>
    <row r="14" spans="1:4">
      <c r="A14" s="4" t="s">
        <v>14</v>
      </c>
      <c r="B14" s="5">
        <v>48</v>
      </c>
      <c r="C14" s="1"/>
    </row>
    <row r="15" spans="1:4">
      <c r="A15" s="4" t="s">
        <v>15</v>
      </c>
      <c r="B15" s="5">
        <v>128</v>
      </c>
    </row>
    <row r="16" spans="1:4">
      <c r="A16" s="4" t="s">
        <v>16</v>
      </c>
      <c r="B16" s="5">
        <v>17408</v>
      </c>
    </row>
    <row r="17" spans="1:7">
      <c r="A17" s="4" t="s">
        <v>17</v>
      </c>
      <c r="B17" s="5">
        <v>248320</v>
      </c>
    </row>
    <row r="18" spans="1:7">
      <c r="A18" s="4" t="s">
        <v>18</v>
      </c>
      <c r="B18" s="5">
        <v>2</v>
      </c>
    </row>
    <row r="19" spans="1:7">
      <c r="A19" s="4" t="s">
        <v>19</v>
      </c>
      <c r="B19" s="6">
        <f>B7*B18</f>
        <v>128</v>
      </c>
    </row>
    <row r="21" spans="1:7">
      <c r="A21" s="24" t="s">
        <v>20</v>
      </c>
      <c r="B21" s="24"/>
      <c r="C21" s="24"/>
      <c r="D21" s="24"/>
      <c r="F21" s="24" t="s">
        <v>21</v>
      </c>
      <c r="G21" s="24"/>
    </row>
    <row r="22" spans="1:7">
      <c r="A22" s="4" t="s">
        <v>22</v>
      </c>
      <c r="B22" s="5">
        <v>4</v>
      </c>
      <c r="F22" s="4" t="s">
        <v>23</v>
      </c>
      <c r="G22" s="7">
        <v>4</v>
      </c>
    </row>
    <row r="23" spans="1:7">
      <c r="A23" s="4" t="s">
        <v>24</v>
      </c>
      <c r="B23" s="5">
        <v>1</v>
      </c>
      <c r="F23" s="4" t="s">
        <v>25</v>
      </c>
      <c r="G23" s="7">
        <v>2</v>
      </c>
    </row>
    <row r="24" spans="1:7">
      <c r="A24" s="4" t="s">
        <v>26</v>
      </c>
      <c r="B24" s="8" t="s">
        <v>25</v>
      </c>
      <c r="F24" s="4" t="s">
        <v>27</v>
      </c>
      <c r="G24" s="7">
        <v>2</v>
      </c>
    </row>
    <row r="25" spans="1:7">
      <c r="A25" s="4" t="s">
        <v>28</v>
      </c>
      <c r="B25" s="7">
        <f>INDEX($G$22:$G$28,MATCH(B24,$F$22:$F$28,0))</f>
        <v>2</v>
      </c>
      <c r="F25" s="4" t="s">
        <v>29</v>
      </c>
      <c r="G25" s="7">
        <v>1</v>
      </c>
    </row>
    <row r="26" spans="1:7" ht="22.35">
      <c r="A26" s="4" t="s">
        <v>30</v>
      </c>
      <c r="B26" s="5">
        <v>605</v>
      </c>
      <c r="C26" s="3" t="s">
        <v>31</v>
      </c>
      <c r="F26" s="4" t="s">
        <v>32</v>
      </c>
      <c r="G26" s="7">
        <v>1</v>
      </c>
    </row>
    <row r="27" spans="1:7" ht="22.35">
      <c r="A27" s="4" t="s">
        <v>33</v>
      </c>
      <c r="B27" s="5">
        <v>64</v>
      </c>
      <c r="C27" s="3" t="s">
        <v>34</v>
      </c>
      <c r="F27" s="4" t="s">
        <v>35</v>
      </c>
      <c r="G27" s="7">
        <v>0.5</v>
      </c>
    </row>
    <row r="28" spans="1:7" ht="22.35">
      <c r="A28" s="4" t="s">
        <v>36</v>
      </c>
      <c r="B28" s="5">
        <v>150</v>
      </c>
      <c r="C28" s="3" t="s">
        <v>37</v>
      </c>
      <c r="F28" s="4" t="s">
        <v>38</v>
      </c>
      <c r="G28" s="7">
        <v>0.5</v>
      </c>
    </row>
    <row r="29" spans="1:7">
      <c r="A29" s="4" t="s">
        <v>39</v>
      </c>
      <c r="B29" s="5">
        <v>8192</v>
      </c>
      <c r="C29" s="3" t="s">
        <v>40</v>
      </c>
    </row>
  </sheetData>
  <mergeCells count="5">
    <mergeCell ref="A4:D4"/>
    <mergeCell ref="C5:C7"/>
    <mergeCell ref="C12:C14"/>
    <mergeCell ref="A21:D21"/>
    <mergeCell ref="F21:G21"/>
  </mergeCells>
  <dataValidations count="1">
    <dataValidation type="list" sqref="B24" xr:uid="{00000000-0002-0000-0000-000000000000}">
      <formula1>"FP32,BF16,FP16,FP8,INT8,FP4,INT4"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42" customWidth="1"/>
    <col min="2" max="2" width="20" customWidth="1"/>
    <col min="3" max="3" width="46" customWidth="1"/>
  </cols>
  <sheetData>
    <row r="1" spans="1:3" ht="17.45">
      <c r="A1" s="2" t="s">
        <v>41</v>
      </c>
    </row>
    <row r="2" spans="1:3" ht="32.85">
      <c r="A2" s="3" t="s">
        <v>42</v>
      </c>
    </row>
    <row r="4" spans="1:3">
      <c r="A4" s="24" t="s">
        <v>43</v>
      </c>
      <c r="B4" s="24"/>
      <c r="C4" s="24"/>
    </row>
    <row r="5" spans="1:3">
      <c r="A5" s="4" t="s">
        <v>44</v>
      </c>
      <c r="B5" s="9">
        <f>Inputs!B5*Inputs!B25</f>
        <v>54000000000</v>
      </c>
    </row>
    <row r="6" spans="1:3">
      <c r="A6" s="4" t="s">
        <v>45</v>
      </c>
      <c r="B6" s="9">
        <f>B5/Inputs!B22</f>
        <v>13500000000</v>
      </c>
    </row>
    <row r="7" spans="1:3">
      <c r="A7" s="4" t="s">
        <v>46</v>
      </c>
      <c r="B7" s="7">
        <f>B6/1000000000</f>
        <v>13.5</v>
      </c>
    </row>
    <row r="8" spans="1:3">
      <c r="A8" s="4" t="s">
        <v>47</v>
      </c>
      <c r="B8" s="10">
        <f>(B6/(Inputs!B26*1000000000))*1000</f>
        <v>22.314049586776857</v>
      </c>
    </row>
    <row r="10" spans="1:3">
      <c r="A10" s="24" t="s">
        <v>48</v>
      </c>
      <c r="B10" s="24"/>
      <c r="C10" s="24"/>
    </row>
    <row r="11" spans="1:3">
      <c r="A11" s="4" t="s">
        <v>49</v>
      </c>
      <c r="B11" s="11">
        <f>2*Inputs!B5*Inputs!B23</f>
        <v>54000000000</v>
      </c>
    </row>
    <row r="12" spans="1:3">
      <c r="A12" s="4" t="s">
        <v>50</v>
      </c>
      <c r="B12" s="11">
        <f>B11/Inputs!B22</f>
        <v>13500000000</v>
      </c>
    </row>
    <row r="13" spans="1:3">
      <c r="A13" s="4" t="s">
        <v>51</v>
      </c>
      <c r="B13" s="10">
        <f>(B12/(Inputs!B28*1000000000000))*1000</f>
        <v>9.0000000000000011E-2</v>
      </c>
    </row>
    <row r="15" spans="1:3">
      <c r="A15" s="24" t="s">
        <v>52</v>
      </c>
      <c r="B15" s="24"/>
      <c r="C15" s="24"/>
    </row>
    <row r="16" spans="1:3">
      <c r="A16" s="4" t="s">
        <v>53</v>
      </c>
      <c r="B16" s="9">
        <f>Inputs!B23*Inputs!B6*Inputs!B25</f>
        <v>10240</v>
      </c>
    </row>
    <row r="17" spans="1:3">
      <c r="A17" s="4" t="s">
        <v>54</v>
      </c>
      <c r="B17" s="12">
        <f>IF(Inputs!B22&gt;1,2*(Inputs!B22-1)/Inputs!B22,0)</f>
        <v>1.5</v>
      </c>
    </row>
    <row r="18" spans="1:3">
      <c r="A18" s="4" t="s">
        <v>55</v>
      </c>
      <c r="B18" s="12">
        <f>(B17*B16/(Inputs!B27*1000000000))*1000</f>
        <v>2.3999999999999998E-4</v>
      </c>
    </row>
    <row r="19" spans="1:3">
      <c r="A19" s="4" t="s">
        <v>19</v>
      </c>
      <c r="B19" s="9">
        <f>Inputs!B19</f>
        <v>128</v>
      </c>
    </row>
    <row r="20" spans="1:3">
      <c r="A20" s="4" t="s">
        <v>56</v>
      </c>
      <c r="B20" s="13">
        <f>B18*B19</f>
        <v>3.0719999999999997E-2</v>
      </c>
    </row>
    <row r="22" spans="1:3">
      <c r="A22" s="24" t="s">
        <v>57</v>
      </c>
      <c r="B22" s="24"/>
      <c r="C22" s="24"/>
    </row>
    <row r="23" spans="1:3">
      <c r="A23" s="4" t="s">
        <v>58</v>
      </c>
      <c r="B23" s="14" t="str">
        <f>IF(B8&gt;=B13,"Memory-bound","Compute-bound")</f>
        <v>Memory-bound</v>
      </c>
    </row>
    <row r="24" spans="1:3">
      <c r="A24" s="4" t="s">
        <v>59</v>
      </c>
      <c r="B24" s="15">
        <f>MAX(B8,B13)+B20</f>
        <v>22.344769586776856</v>
      </c>
    </row>
    <row r="25" spans="1:3">
      <c r="A25" s="4" t="s">
        <v>60</v>
      </c>
      <c r="B25" s="16">
        <f>1000/B24</f>
        <v>44.753202583560231</v>
      </c>
    </row>
    <row r="26" spans="1:3">
      <c r="A26" s="4" t="s">
        <v>61</v>
      </c>
      <c r="B26" s="17">
        <f>B25*Inputs!B23</f>
        <v>44.753202583560231</v>
      </c>
    </row>
    <row r="28" spans="1:3">
      <c r="A28" s="24" t="s">
        <v>62</v>
      </c>
      <c r="B28" s="24"/>
      <c r="C28" s="24"/>
    </row>
    <row r="29" spans="1:3">
      <c r="A29" s="4" t="s">
        <v>63</v>
      </c>
      <c r="B29" s="18" t="str">
        <f>IF(Inputs!B22&gt;Inputs!B10,"EXCEEDS - replication needed","OK")</f>
        <v>OK</v>
      </c>
    </row>
    <row r="30" spans="1:3">
      <c r="A30" s="4" t="s">
        <v>64</v>
      </c>
      <c r="B30" s="18" t="str">
        <f>IF(Inputs!B22&gt;Inputs!B13,"EXCEEDS - replication needed","OK")</f>
        <v>OK</v>
      </c>
    </row>
  </sheetData>
  <mergeCells count="5">
    <mergeCell ref="A4:C4"/>
    <mergeCell ref="A10:C10"/>
    <mergeCell ref="A15:C15"/>
    <mergeCell ref="A22:C22"/>
    <mergeCell ref="A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42" customWidth="1"/>
    <col min="2" max="2" width="20" customWidth="1"/>
    <col min="3" max="3" width="46" customWidth="1"/>
  </cols>
  <sheetData>
    <row r="1" spans="1:3" ht="17.45">
      <c r="A1" s="2" t="s">
        <v>65</v>
      </c>
    </row>
    <row r="2" spans="1:3" ht="43.35">
      <c r="A2" s="3" t="s">
        <v>66</v>
      </c>
    </row>
    <row r="4" spans="1:3">
      <c r="A4" s="24" t="s">
        <v>67</v>
      </c>
      <c r="B4" s="24"/>
      <c r="C4" s="24"/>
    </row>
    <row r="5" spans="1:3">
      <c r="A5" s="4" t="s">
        <v>68</v>
      </c>
      <c r="B5" s="11">
        <f>2*Inputs!B5*Inputs!B29</f>
        <v>442368000000000</v>
      </c>
    </row>
    <row r="6" spans="1:3">
      <c r="A6" s="4" t="s">
        <v>69</v>
      </c>
      <c r="B6" s="9">
        <f>Inputs!B9*Inputs!B11</f>
        <v>6144</v>
      </c>
    </row>
    <row r="7" spans="1:3">
      <c r="A7" s="4" t="s">
        <v>70</v>
      </c>
      <c r="B7" s="11">
        <f>4*Inputs!B8*(Inputs!B29^2)*B6</f>
        <v>26388279066624</v>
      </c>
    </row>
    <row r="8" spans="1:3">
      <c r="A8" s="4" t="s">
        <v>71</v>
      </c>
      <c r="B8" s="19">
        <f>B5+B7</f>
        <v>468756279066624</v>
      </c>
    </row>
    <row r="9" spans="1:3">
      <c r="A9" s="4" t="s">
        <v>72</v>
      </c>
      <c r="B9" s="17">
        <f>B8/1000000000000</f>
        <v>468.75627906662402</v>
      </c>
    </row>
    <row r="11" spans="1:3">
      <c r="A11" s="24" t="s">
        <v>73</v>
      </c>
      <c r="B11" s="24"/>
      <c r="C11" s="24"/>
    </row>
    <row r="12" spans="1:3">
      <c r="A12" s="4" t="s">
        <v>74</v>
      </c>
      <c r="B12" s="9">
        <f>Inputs!B22*Inputs!B28</f>
        <v>600</v>
      </c>
    </row>
    <row r="13" spans="1:3" ht="15" customHeight="1">
      <c r="A13" s="4" t="s">
        <v>75</v>
      </c>
      <c r="B13" s="20">
        <f>B8/(B12*1000000000000)</f>
        <v>0.78126046511103997</v>
      </c>
      <c r="C13" s="1" t="s">
        <v>76</v>
      </c>
    </row>
    <row r="14" spans="1:3">
      <c r="A14" s="4" t="s">
        <v>77</v>
      </c>
      <c r="B14" s="21">
        <f>B13*1000</f>
        <v>781.26046511103993</v>
      </c>
      <c r="C14" s="1"/>
    </row>
  </sheetData>
  <mergeCells count="3">
    <mergeCell ref="A4:C4"/>
    <mergeCell ref="A11:C11"/>
    <mergeCell ref="C13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0"/>
  <sheetViews>
    <sheetView showGridLines="0" zoomScaleNormal="100" workbookViewId="0"/>
  </sheetViews>
  <sheetFormatPr defaultColWidth="8.7109375" defaultRowHeight="15"/>
  <cols>
    <col min="1" max="1" width="100" customWidth="1"/>
  </cols>
  <sheetData>
    <row r="1" spans="1:1" ht="17.45">
      <c r="A1" s="2" t="s">
        <v>78</v>
      </c>
    </row>
    <row r="2" spans="1:1">
      <c r="A2" s="22"/>
    </row>
    <row r="3" spans="1:1">
      <c r="A3" s="23" t="s">
        <v>79</v>
      </c>
    </row>
    <row r="4" spans="1:1">
      <c r="A4" s="22" t="s">
        <v>80</v>
      </c>
    </row>
    <row r="5" spans="1:1">
      <c r="A5" s="22" t="s">
        <v>81</v>
      </c>
    </row>
    <row r="6" spans="1:1">
      <c r="A6" s="22" t="s">
        <v>82</v>
      </c>
    </row>
    <row r="7" spans="1:1">
      <c r="A7" s="22"/>
    </row>
    <row r="8" spans="1:1">
      <c r="A8" s="23" t="s">
        <v>83</v>
      </c>
    </row>
    <row r="9" spans="1:1">
      <c r="A9" s="22" t="s">
        <v>84</v>
      </c>
    </row>
    <row r="10" spans="1:1">
      <c r="A10" s="22" t="s">
        <v>85</v>
      </c>
    </row>
    <row r="11" spans="1:1">
      <c r="A11" s="22" t="s">
        <v>86</v>
      </c>
    </row>
    <row r="12" spans="1:1">
      <c r="A12" s="22" t="s">
        <v>87</v>
      </c>
    </row>
    <row r="13" spans="1:1">
      <c r="A13" s="22" t="s">
        <v>88</v>
      </c>
    </row>
    <row r="14" spans="1:1">
      <c r="A14" s="22"/>
    </row>
    <row r="15" spans="1:1">
      <c r="A15" s="22" t="s">
        <v>89</v>
      </c>
    </row>
    <row r="16" spans="1:1">
      <c r="A16" s="22" t="s">
        <v>90</v>
      </c>
    </row>
    <row r="17" spans="1:1">
      <c r="A17" s="22"/>
    </row>
    <row r="18" spans="1:1">
      <c r="A18" s="23" t="s">
        <v>91</v>
      </c>
    </row>
    <row r="19" spans="1:1">
      <c r="A19" s="22" t="s">
        <v>92</v>
      </c>
    </row>
    <row r="20" spans="1:1">
      <c r="A20" s="22" t="s">
        <v>93</v>
      </c>
    </row>
    <row r="21" spans="1:1">
      <c r="A21" s="22" t="s">
        <v>94</v>
      </c>
    </row>
    <row r="22" spans="1:1">
      <c r="A22" s="22" t="s">
        <v>95</v>
      </c>
    </row>
    <row r="23" spans="1:1">
      <c r="A23" s="22" t="s">
        <v>96</v>
      </c>
    </row>
    <row r="24" spans="1:1">
      <c r="A24" s="22"/>
    </row>
    <row r="25" spans="1:1">
      <c r="A25" s="22" t="s">
        <v>97</v>
      </c>
    </row>
    <row r="26" spans="1:1">
      <c r="A26" s="22" t="s">
        <v>98</v>
      </c>
    </row>
    <row r="27" spans="1:1">
      <c r="A27" s="22" t="s">
        <v>99</v>
      </c>
    </row>
    <row r="28" spans="1:1">
      <c r="A28" s="22" t="s">
        <v>100</v>
      </c>
    </row>
    <row r="29" spans="1:1">
      <c r="A29" s="22"/>
    </row>
    <row r="30" spans="1:1">
      <c r="A30" s="22" t="s">
        <v>101</v>
      </c>
    </row>
    <row r="31" spans="1:1">
      <c r="A31" s="22" t="s">
        <v>102</v>
      </c>
    </row>
    <row r="32" spans="1:1">
      <c r="A32" s="22" t="s">
        <v>103</v>
      </c>
    </row>
    <row r="33" spans="1:1">
      <c r="A33" s="22" t="s">
        <v>104</v>
      </c>
    </row>
    <row r="34" spans="1:1">
      <c r="A34" s="22" t="s">
        <v>105</v>
      </c>
    </row>
    <row r="35" spans="1:1">
      <c r="A35" s="22" t="s">
        <v>106</v>
      </c>
    </row>
    <row r="36" spans="1:1">
      <c r="A36" s="22"/>
    </row>
    <row r="37" spans="1:1">
      <c r="A37" s="22" t="s">
        <v>107</v>
      </c>
    </row>
    <row r="38" spans="1:1">
      <c r="A38" s="22" t="s">
        <v>108</v>
      </c>
    </row>
    <row r="39" spans="1:1">
      <c r="A39" s="22" t="s">
        <v>109</v>
      </c>
    </row>
    <row r="40" spans="1:1">
      <c r="A40" s="22" t="s">
        <v>110</v>
      </c>
    </row>
    <row r="41" spans="1:1">
      <c r="A41" s="22"/>
    </row>
    <row r="42" spans="1:1">
      <c r="A42" s="23" t="s">
        <v>111</v>
      </c>
    </row>
    <row r="43" spans="1:1">
      <c r="A43" s="22" t="s">
        <v>112</v>
      </c>
    </row>
    <row r="44" spans="1:1">
      <c r="A44" s="22" t="s">
        <v>113</v>
      </c>
    </row>
    <row r="45" spans="1:1">
      <c r="A45" s="22" t="s">
        <v>114</v>
      </c>
    </row>
    <row r="46" spans="1:1">
      <c r="A46" s="22" t="s">
        <v>115</v>
      </c>
    </row>
    <row r="47" spans="1:1">
      <c r="A47" s="22" t="s">
        <v>116</v>
      </c>
    </row>
    <row r="48" spans="1:1">
      <c r="A48" s="22" t="s">
        <v>117</v>
      </c>
    </row>
    <row r="49" spans="1:1">
      <c r="A49" s="22" t="s">
        <v>118</v>
      </c>
    </row>
    <row r="50" spans="1:1">
      <c r="A50" s="22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Castelino, Ervin</cp:lastModifiedBy>
  <cp:revision>0</cp:revision>
  <dcterms:created xsi:type="dcterms:W3CDTF">2026-09-03T10:20:53Z</dcterms:created>
  <dcterms:modified xsi:type="dcterms:W3CDTF">2026-09-03T10:27:37Z</dcterms:modified>
  <cp:category/>
  <cp:contentStatus/>
</cp:coreProperties>
</file>